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angana" sheetId="1" state="visible" r:id="rId3"/>
    <sheet name="Andhra Pradesh" sheetId="2" state="visible" r:id="rId4"/>
    <sheet name="Sources &amp; Methodology" sheetId="3" state="visible" r:id="rId5"/>
    <sheet name="Pending Data 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<sst xmlns="http://schemas.openxmlformats.org/spreadsheetml/2006/main" count="559" uniqueCount="225">
  <si>
    <t xml:space="preserve">SolarSite-India — Telangana District Demand &amp; Solar Dataset  |  FY 2023-24  |  STATE TOTALS: AUTHORITATIVE (CEA/TGERC)</t>
  </si>
  <si>
    <t xml:space="preserve">Demand: TGERC RST Order FY2023-24 (73,618 MU approved)  |  Utility Solar: CEA 31.03.2024 (4,360.49 MW)  |  Rooftop Solar: CEA 31.03.2024 (388.96 MW — all net-metered, broader than TSREDCO scheme 202.84 MW)  |  GREEN = authoritative state total pop-weighted  |  YELLOW = derived (MW×8760×CF)</t>
  </si>
  <si>
    <t xml:space="preserve">district_name</t>
  </si>
  <si>
    <t xml:space="preserve">discom</t>
  </si>
  <si>
    <t xml:space="preserve">census_pop_2011</t>
  </si>
  <si>
    <t xml:space="preserve">annual_demand_mu
(AUTHORITATIVE – pop-weighted)</t>
  </si>
  <si>
    <t xml:space="preserve">annual_demand_mwh
(AUTHORITATIVE – pop-weighted)</t>
  </si>
  <si>
    <t xml:space="preserve">current_utility_solar_mw
(AUTHORITATIVE – CEA 31.03.2024, pop-weighted)</t>
  </si>
  <si>
    <t xml:space="preserve">current_utility_solar_mwh
(DERIVED – MW × 8760 × 0.23 CF)</t>
  </si>
  <si>
    <t xml:space="preserve">current_rooftop_solar_mw
(AUTHORITATIVE – CEA 31.03.2024, pop-weighted)</t>
  </si>
  <si>
    <t xml:space="preserve">current_rooftop_solar_mwh
(DERIVED – MW × 8760 × 0.18 CF)</t>
  </si>
  <si>
    <t xml:space="preserve">year_of_data</t>
  </si>
  <si>
    <t xml:space="preserve">demand_source</t>
  </si>
  <si>
    <t xml:space="preserve">pop_source</t>
  </si>
  <si>
    <t xml:space="preserve">derivation_method</t>
  </si>
  <si>
    <t xml:space="preserve">notes</t>
  </si>
  <si>
    <t xml:space="preserve">Hyderabad</t>
  </si>
  <si>
    <t xml:space="preserve">TSSPDCL</t>
  </si>
  <si>
    <t xml:space="preserve">FY2023-24</t>
  </si>
  <si>
    <t xml:space="preserve">TGERC RST Order FY2023-24, O.P.80-88/2022, dated 24-03-2023</t>
  </si>
  <si>
    <t xml:space="preserve">Census of India 2011 (RGI); 33-district boundaries</t>
  </si>
  <si>
    <t xml:space="preserve">Population-weighted downscaling within DISCOM area</t>
  </si>
  <si>
    <t xml:space="preserve">Urban-only district; per-capita consumption significantly above TSSPDCL avg → PENDING correction factor</t>
  </si>
  <si>
    <t xml:space="preserve">Medchal-Malkajgiri</t>
  </si>
  <si>
    <t xml:space="preserve">Ranga Reddy</t>
  </si>
  <si>
    <t xml:space="preserve">Sangareddy</t>
  </si>
  <si>
    <t xml:space="preserve">Vikarabad</t>
  </si>
  <si>
    <t xml:space="preserve">Nalgonda</t>
  </si>
  <si>
    <t xml:space="preserve">Suryapet</t>
  </si>
  <si>
    <t xml:space="preserve">Yadadri Bhuvanagiri</t>
  </si>
  <si>
    <t xml:space="preserve">Mahabubnagar</t>
  </si>
  <si>
    <t xml:space="preserve">Nagarkurnool</t>
  </si>
  <si>
    <t xml:space="preserve">Wanaparthy</t>
  </si>
  <si>
    <t xml:space="preserve">Narayanpet</t>
  </si>
  <si>
    <t xml:space="preserve">Jogulamba Gadwal</t>
  </si>
  <si>
    <t xml:space="preserve">Nizamabad</t>
  </si>
  <si>
    <t xml:space="preserve">TSNPDCL</t>
  </si>
  <si>
    <t xml:space="preserve">Kamareddy</t>
  </si>
  <si>
    <t xml:space="preserve">Karimnagar</t>
  </si>
  <si>
    <t xml:space="preserve">Jagtial</t>
  </si>
  <si>
    <t xml:space="preserve">Rajanna Sircilla</t>
  </si>
  <si>
    <t xml:space="preserve">Peddapalli</t>
  </si>
  <si>
    <t xml:space="preserve">Jayashankar Bhupalpally</t>
  </si>
  <si>
    <t xml:space="preserve">Adilabad</t>
  </si>
  <si>
    <t xml:space="preserve">Kumuram Bheem Asifabad</t>
  </si>
  <si>
    <t xml:space="preserve">Mancherial</t>
  </si>
  <si>
    <t xml:space="preserve">Nirmal</t>
  </si>
  <si>
    <t xml:space="preserve">Medak</t>
  </si>
  <si>
    <t xml:space="preserve">Siddipet</t>
  </si>
  <si>
    <t xml:space="preserve">Hanumakonda</t>
  </si>
  <si>
    <t xml:space="preserve">Warangal</t>
  </si>
  <si>
    <t xml:space="preserve">Jangaon</t>
  </si>
  <si>
    <t xml:space="preserve">Mulugu</t>
  </si>
  <si>
    <t xml:space="preserve">Bhadradri Kothagudem</t>
  </si>
  <si>
    <t xml:space="preserve">Khammam</t>
  </si>
  <si>
    <t xml:space="preserve">Mahabubabad</t>
  </si>
  <si>
    <t xml:space="preserve">TOTAL / DISCOM APPROVED</t>
  </si>
  <si>
    <t xml:space="preserve">Approved total = 73,618 MU</t>
  </si>
  <si>
    <t xml:space="preserve">SolarSite-India — Andhra Pradesh District Demand &amp; Solar Dataset  |  FY 2022-23  |  STATE TOTALS: AUTHORITATIVE (CEA/APERC)</t>
  </si>
  <si>
    <t xml:space="preserve">Demand: APERC SEP May 2023 (72,400 MU, FY2022-23)  |  Utility Solar: CEA 31.03.2024 (4,298.52 MW)  |  Rooftop Solar: CEA 31.03.2024 (198.12 MW) — actual commissioned, not APERC 490MW planning estimate  |  GREEN = authoritative state total pop-weighted  |  YELLOW = derived (MW×8760×CF)  |  CAVEAT: demand FY2022-23 vs solar FY2023-24 — 1-year mismatch, disclosed in methodology</t>
  </si>
  <si>
    <t xml:space="preserve">census_pop_2011
(2022 boundaries)</t>
  </si>
  <si>
    <t xml:space="preserve">Srikakulam</t>
  </si>
  <si>
    <t xml:space="preserve">APEPDCL</t>
  </si>
  <si>
    <t xml:space="preserve">FY2022-23</t>
  </si>
  <si>
    <t xml:space="preserve">APERC SEP FY2023-34, dated May-2023 (aperc.gov.in); Total AP = 72,400 MU</t>
  </si>
  <si>
    <t xml:space="preserve">Census of India 2011 (RGI); 28-district 2022 reorganisation boundaries</t>
  </si>
  <si>
    <t xml:space="preserve">Pop-weighted within DISCOM; DISCOM shares from APERC RST Order FY2025-26 (20-02-2025)</t>
  </si>
  <si>
    <t xml:space="preserve">Parvathipuram Manyam</t>
  </si>
  <si>
    <t xml:space="preserve">Vizianagaram</t>
  </si>
  <si>
    <t xml:space="preserve">Visakhapatnam</t>
  </si>
  <si>
    <t xml:space="preserve">Anakapalli</t>
  </si>
  <si>
    <t xml:space="preserve">Alluri Sitharama Raju</t>
  </si>
  <si>
    <t xml:space="preserve">Polavaram</t>
  </si>
  <si>
    <t xml:space="preserve">Kakinada</t>
  </si>
  <si>
    <t xml:space="preserve">East Godavari</t>
  </si>
  <si>
    <t xml:space="preserve">Dr. B.R. Ambedkar Konaseema</t>
  </si>
  <si>
    <t xml:space="preserve">Eluru</t>
  </si>
  <si>
    <t xml:space="preserve">West Godavari</t>
  </si>
  <si>
    <t xml:space="preserve">NTR</t>
  </si>
  <si>
    <t xml:space="preserve">APCPDCL</t>
  </si>
  <si>
    <t xml:space="preserve">Krishna</t>
  </si>
  <si>
    <t xml:space="preserve">Guntur</t>
  </si>
  <si>
    <t xml:space="preserve">Bapatla</t>
  </si>
  <si>
    <t xml:space="preserve">Palnadu</t>
  </si>
  <si>
    <t xml:space="preserve">Prakasam</t>
  </si>
  <si>
    <t xml:space="preserve">Markapuram</t>
  </si>
  <si>
    <t xml:space="preserve">Sri Potti Sriramulu Nellore</t>
  </si>
  <si>
    <t xml:space="preserve">APSPDCL</t>
  </si>
  <si>
    <t xml:space="preserve">Kurnool</t>
  </si>
  <si>
    <t xml:space="preserve">Kurnool Solar Park ~1,000 MW utility; geocode from NREDCAP for precise MW</t>
  </si>
  <si>
    <t xml:space="preserve">Nandyal</t>
  </si>
  <si>
    <t xml:space="preserve">Ananthapuramu</t>
  </si>
  <si>
    <t xml:space="preserve">Anantapur cluster ~1,500 MW utility solar; geocode from NREDCAP</t>
  </si>
  <si>
    <t xml:space="preserve">Sri Sathya Sai</t>
  </si>
  <si>
    <t xml:space="preserve">YSR Kadapa</t>
  </si>
  <si>
    <t xml:space="preserve">Significant utility solar; pending NREDCAP confirmation</t>
  </si>
  <si>
    <t xml:space="preserve">Annamayya</t>
  </si>
  <si>
    <t xml:space="preserve">Tirupati</t>
  </si>
  <si>
    <t xml:space="preserve">Chittoor</t>
  </si>
  <si>
    <t xml:space="preserve">TOTAL / STATE APPROVED</t>
  </si>
  <si>
    <t xml:space="preserve">Approved total = 72,400 MU</t>
  </si>
  <si>
    <t xml:space="preserve">SolarSite-India  –  Data Sources &amp; Methodology Register</t>
  </si>
  <si>
    <t xml:space="preserve">FIELD</t>
  </si>
  <si>
    <t xml:space="preserve">STATUS</t>
  </si>
  <si>
    <t xml:space="preserve">DESCRIPTION / DERIVATION</t>
  </si>
  <si>
    <t xml:space="preserve">AUTHORITY</t>
  </si>
  <si>
    <t xml:space="preserve">URL / REFERENCE</t>
  </si>
  <si>
    <t xml:space="preserve">GRANULARITY</t>
  </si>
  <si>
    <t xml:space="preserve">annual_demand_mu / annual_demand_mwh  (Telangana)</t>
  </si>
  <si>
    <t xml:space="preserve">DERIVED – population-weighted</t>
  </si>
  <si>
    <t xml:space="preserve">TGERC RST Order FY 2023-24  (O.P. No. 80–88 of 2022), dated 24-03-2023. Approved total energy sales: 73,618 MU (TSSPDCL + TSNPDCL combined).</t>
  </si>
  <si>
    <t xml:space="preserve">Telangana State Electricity Regulatory Commission (TGERC)</t>
  </si>
  <si>
    <t xml:space="preserve">https://tgerc.telangana.gov.in/file_upload/uploads/Tariff%20Orders/Current%20Year%20Orders/2023/RST%20order%20FY%202023-24.pdf</t>
  </si>
  <si>
    <t xml:space="preserve">DISCOM-level official; district derived via Census 2011 pop weights</t>
  </si>
  <si>
    <t xml:space="preserve">annual_demand_mu / annual_demand_mwh  (Andhra Pradesh)</t>
  </si>
  <si>
    <t xml:space="preserve">APERC State Electricity Plan FY 2023-24 to FY 2033-34, May 2023.  Total AP consumption FY 2022-23 = 72,400 MU; peak demand (May-23) = 12,653 MW. DISCOM shares from APERC RST Order FY 2025-26, dated 20-02-2025 (APSPDCL 38.95 %, APCPDCL 21.33 %, APEPDCL 39.72 %).</t>
  </si>
  <si>
    <t xml:space="preserve">Andhra Pradesh Electricity Regulatory Commission (APERC)</t>
  </si>
  <si>
    <t xml:space="preserve">https://aperc.gov.in/admin/upload/StateelectricityPlan07062023.pdf  |  https://aperc.gov.in/admin/upload/TariffOrderforFY202526.pdf</t>
  </si>
  <si>
    <t xml:space="preserve">current_rooftop_solar_mw / mwh  (Andhra Pradesh)</t>
  </si>
  <si>
    <t xml:space="preserve">APERC SEP 2023: Table 2.1 – Category-wise rooftop installation in MW. State total FY 2022-23 = 490.232 MW. MWh = MW × 8,760 × 0.18 CF. District share = district pop / total AP pop.</t>
  </si>
  <si>
    <t xml:space="preserve">APERC (aperc.gov.in)</t>
  </si>
  <si>
    <t xml:space="preserve">https://aperc.gov.in/admin/upload/StateelectricityPlan07062023.pdf  (p. 11)</t>
  </si>
  <si>
    <t xml:space="preserve">State total official; district derived</t>
  </si>
  <si>
    <t xml:space="preserve">current_utility_solar_mw / mwh  (Telangana)</t>
  </si>
  <si>
    <t xml:space="preserve">PENDING</t>
  </si>
  <si>
    <t xml:space="preserve">TSREDCO &amp; TSSPDCL/TSNPDCL do not publish district-wise commissioned solar capacity. State total ~4,500 MW utility (CEA monthly reports Dec-2024). Recommendation: File RTI with TSREDCO for project-wise commissioned capacity table and geocode to district.</t>
  </si>
  <si>
    <t xml:space="preserve">TSREDCO (tsredco.telangana.gov.in) / CEA</t>
  </si>
  <si>
    <t xml:space="preserve">https://tsredco.telangana.gov.in  |  https://cea.nic.in</t>
  </si>
  <si>
    <t xml:space="preserve">NOT AVAILABLE publicly at district level</t>
  </si>
  <si>
    <t xml:space="preserve">current_utility_solar_mw / mwh  (Andhra Pradesh)</t>
  </si>
  <si>
    <t xml:space="preserve">NREDCAP &amp; AP DISCOMs do not publish district-wise utility solar capacity. AP total installed RES = 7,626.936 MW as of 31-03-2023 (APERC SEP); solar dominant. Known large projects: Kurnool Solar Park ~1,000 MW (Kurnool/Nandyal), Anantapuramu cluster ~1,500 MW, Kadapa Solar Park ~1,000 MW. Recommend: Geocode NREDCAP/SECI project registers to district level.</t>
  </si>
  <si>
    <t xml:space="preserve">NREDCAP (nredcap.in) / APERC SEP 2023</t>
  </si>
  <si>
    <t xml:space="preserve">https://aperc.gov.in/admin/upload/StateelectricityPlan07062023.pdf  (p. 7)</t>
  </si>
  <si>
    <t xml:space="preserve">current_rooftop_solar_mw / mwh  (Telangana)</t>
  </si>
  <si>
    <t xml:space="preserve">TSSPDCL and TSNPDCL maintain net-metering registers but do not publish district-wise rooftop capacity. Recommended approach: File RTI with TSSPDCL / TSNPDCL for 'division-wise rooftop solar net-metering sanctioned capacity as of March 2024'. Alternatively use MNRE PM Surya Ghar district aggregates (available for post-2024 installations only).</t>
  </si>
  <si>
    <t xml:space="preserve">TSSPDCL / TSNPDCL / MNRE</t>
  </si>
  <si>
    <t xml:space="preserve">https://tsredco.telangana.gov.in  |  https://pmsuryaghar.gov.in</t>
  </si>
  <si>
    <t xml:space="preserve">census_pop_2011  (Telangana – 33 districts)</t>
  </si>
  <si>
    <t xml:space="preserve">AUTHORITATIVE</t>
  </si>
  <si>
    <t xml:space="preserve">Census of India 2011, Office of the Registrar General &amp; Census Commissioner of India (RGI). Post-bifurcation 33-district Telangana boundaries (incl. Mulugu &amp; Narayanpet created 17-02-2019).</t>
  </si>
  <si>
    <t xml:space="preserve">Office of the Registrar General &amp; Census Commissioner of India (MHA)</t>
  </si>
  <si>
    <t xml:space="preserve">https://censusindia.gov.in  |  https://en.wikipedia.org/wiki/List_of_districts_of_Telangana</t>
  </si>
  <si>
    <t xml:space="preserve">District level – 2011; 2023 projection not yet officially released</t>
  </si>
  <si>
    <t xml:space="preserve">census_pop_2011  (Andhra Pradesh – 28 districts)</t>
  </si>
  <si>
    <t xml:space="preserve">AUTHORITATIVE (adapted)</t>
  </si>
  <si>
    <t xml:space="preserve">Census of India 2011 (RGI) adapted to 2022 reorganisation boundaries. New 28 districts notified 04-04-2022 under AP Districts (Formation) Act 1974. Populations are 2011 mandal-level aggregates realigned to new boundaries.</t>
  </si>
  <si>
    <t xml:space="preserve">https://censusindia.gov.in  |  https://en.wikipedia.org/wiki/List_of_districts_of_Andhra_Pradesh</t>
  </si>
  <si>
    <t xml:space="preserve">District level – 2011 base; boundary-adapted</t>
  </si>
  <si>
    <t xml:space="preserve">DISCOM-to-District mapping  (Telangana)</t>
  </si>
  <si>
    <t xml:space="preserve">DERIVED</t>
  </si>
  <si>
    <t xml:space="preserve">TGERC RST Order FY 2023-24 (Chapter 1.2): TSSPDCL covers 13 southern districts incl. Hyderabad metro. TSNPDCL covers 20 northern districts. Mapping cross-checked with TSSPDCL/TSNPDCL official websites.</t>
  </si>
  <si>
    <t xml:space="preserve">TGERC / TSSPDCL / TSNPDCL</t>
  </si>
  <si>
    <t xml:space="preserve">https://tgerc.telangana.gov.in</t>
  </si>
  <si>
    <t xml:space="preserve">DISCOM boundary official</t>
  </si>
  <si>
    <t xml:space="preserve">DISCOM-to-District mapping  (Andhra Pradesh)</t>
  </si>
  <si>
    <t xml:space="preserve">APERC RST Order FY 2025-26 (Chapter 1, para 3): APCPDCL licensed for Krishna, Guntur, Prakasam from 01-04-2020. APSPDCL: 5 old southern districts. APEPDCL: 5 old eastern districts. New 28-district allocation derived from mandal-level bifurcation gazette notifications April 2022.</t>
  </si>
  <si>
    <t xml:space="preserve">https://aperc.gov.in/admin/upload/TariffOrderforFY202526.pdf  (para 3, p.2)</t>
  </si>
  <si>
    <t xml:space="preserve">CAPACITY FACTORS used</t>
  </si>
  <si>
    <t xml:space="preserve">REFERENCE</t>
  </si>
  <si>
    <t xml:space="preserve">Utility-scale solar CF = 23 % (Deccan plateau / TGSPDCL area; CEA RE Generation Review 2023-24 range 20–25 % for South India). Rooftop CF = 18 % (APERC SEP 2023 implied generation / installed ratio, p.11).</t>
  </si>
  <si>
    <t xml:space="preserve">CEA / APERC</t>
  </si>
  <si>
    <t xml:space="preserve">https://cea.nic.in  |  https://aperc.gov.in/admin/upload/StateelectricityPlan07062023.pdf</t>
  </si>
  <si>
    <t xml:space="preserve">State-level assumption applied uniformly</t>
  </si>
  <si>
    <t xml:space="preserve">ESTIMATED – pop-weighted proxy</t>
  </si>
  <si>
    <t xml:space="preserve">CEA Monthly Generation Report Dec-2024: Telangana utility solar ~4,500 MW. Apportioned by district Census 2011 population share. MWh = MW × 8760 × 0.23 CF. NOT authoritative – requires TSREDCO RTI.</t>
  </si>
  <si>
    <t xml:space="preserve">CEA (cea.nic.in) / TSREDCO</t>
  </si>
  <si>
    <t xml:space="preserve">https://cea.nic.in  |  https://tsredco.telangana.gov.in</t>
  </si>
  <si>
    <t xml:space="preserve">State total official; district derived via pop-weight</t>
  </si>
  <si>
    <t xml:space="preserve">MNRE/CEA estimates Telangana rooftop cumulative ~500 MW FY2023-24. Apportioned by district Census 2011 population share. MWh = MW × 8760 × 0.18 CF. NOT authoritative – requires TSSPDCL/TSNPDCL RTI.</t>
  </si>
  <si>
    <t xml:space="preserve">MNRE / CEA</t>
  </si>
  <si>
    <t xml:space="preserve">https://pmsuryaghar.gov.in  |  https://cea.nic.in</t>
  </si>
  <si>
    <t xml:space="preserve">State total estimate; district derived via pop-weight</t>
  </si>
  <si>
    <t xml:space="preserve">ESTIMATED – cluster + pop-weighted residual</t>
  </si>
  <si>
    <t xml:space="preserve">Known projects: Kurnool Solar Park ~1,000 MW (Kurnool 600 / Nandyal 400), Anantapuramu cluster ~1,500 MW (Ananthapuramu 1050 / Sri Sathya Sai 450), Kadapa SP ~1,000 MW (YSR Kadapa). Residual ~2,000 MW of ~5,500 MW total distributed by population. MWh = MW × 8760 × 0.23 CF.</t>
  </si>
  <si>
    <t xml:space="preserve">APERC SEP 2023 / SECI / NREDCAP (geocoding pending)</t>
  </si>
  <si>
    <t xml:space="preserve">https://aperc.gov.in/admin/upload/StateelectricityPlan07062023.pdf</t>
  </si>
  <si>
    <t xml:space="preserve">Cluster-level proxy; district geocoding required for precision</t>
  </si>
  <si>
    <t xml:space="preserve">annual_demand_mu/mwh (TG) — v2 AUTHORITATIVE</t>
  </si>
  <si>
    <t xml:space="preserve">AUTHORITATIVE – pop-weighted</t>
  </si>
  <si>
    <t xml:space="preserve">TGERC RST Order FY2023-24 (O.P.80-88/2022, 24-03-2023). Approved sales = 73,618 MU (TSSPDCL+TSNPDCL). District = pop-share × state total.</t>
  </si>
  <si>
    <t xml:space="preserve">TGERC</t>
  </si>
  <si>
    <t xml:space="preserve">https://tgerc.telangana.gov.in/...RST%20order%20FY%202023-24.pdf</t>
  </si>
  <si>
    <t xml:space="preserve">DISCOM-level official; district via pop-weight</t>
  </si>
  <si>
    <t xml:space="preserve">annual_demand_mu/mwh (AP) — v2 AUTHORITATIVE</t>
  </si>
  <si>
    <t xml:space="preserve">APERC SEP May 2023, Section 1.3: FY2022-23 actual consumption = 72,400 MU.</t>
  </si>
  <si>
    <t xml:space="preserve">APERC</t>
  </si>
  <si>
    <t xml:space="preserve">State-level official; district via pop-weight</t>
  </si>
  <si>
    <t xml:space="preserve">current_utility_solar_mw (TG+AP) — v2 AUTHORITATIVE</t>
  </si>
  <si>
    <t xml:space="preserve">AUTHORITATIVE – CEA official</t>
  </si>
  <si>
    <t xml:space="preserve">CEA State-wise RES Installed Capacity 31.03.2024. TG Ground Mounted = 4,360.49 MW. AP Ground Mounted = 4,298.52 MW. District = pop-share proxy (geocoding pending).</t>
  </si>
  <si>
    <t xml:space="preserve">CEA P&amp;C Division</t>
  </si>
  <si>
    <t xml:space="preserve">https://cdnbbsr.s3waas.gov.in/s3716e1b8c6cd17b771da77391355749f3/uploads/2024/05/20240524405410771.pdf</t>
  </si>
  <si>
    <t xml:space="preserve">State total official; district proxy</t>
  </si>
  <si>
    <t xml:space="preserve">current_rooftop_solar_mw (TG+AP) — v2 AUTHORITATIVE</t>
  </si>
  <si>
    <t xml:space="preserve">CEA 31.03.2024. TG Rooftop = 388.96 MW (all net-metered, &gt; TSREDCO scheme 202.84 MW). AP Rooftop = 198.12 MW (actual; APERC SEP 490MW was planning estimate not commissioned). CF=0.18.</t>
  </si>
  <si>
    <t xml:space="preserve">SolarSite-India  –  Pending Data Acquisition Roadmap</t>
  </si>
  <si>
    <t xml:space="preserve">ACTION REQUIRED</t>
  </si>
  <si>
    <t xml:space="preserve">TARGET AUTHORITY</t>
  </si>
  <si>
    <t xml:space="preserve">EFFORT</t>
  </si>
  <si>
    <t xml:space="preserve">ALTERNATIVE METHOD</t>
  </si>
  <si>
    <t xml:space="preserve">CURRENT STATUS</t>
  </si>
  <si>
    <t xml:space="preserve">current_utility_solar_mw
(Telangana)</t>
  </si>
  <si>
    <t xml:space="preserve">File RTI to TSREDCO:
"Project-wise commissioned solar capacity (MW) by district as of March 2024"</t>
  </si>
  <si>
    <t xml:space="preserve">TSREDCO  (tsredco.telangana.gov.in)</t>
  </si>
  <si>
    <t xml:space="preserve">LOW – 30-day RTI turnaround</t>
  </si>
  <si>
    <t xml:space="preserve">Scrape TSREDCO tender notices (project location + capacity visible). Cross-reference with MERIT India portal (merit.iitm.ac.in) plant master.</t>
  </si>
  <si>
    <t xml:space="preserve">ESTIMATED value added (orange cells) using pop-weighted proxy. RTI still recommended for authoritative data.</t>
  </si>
  <si>
    <t xml:space="preserve">current_utility_solar_mw
(Andhra Pradesh)</t>
  </si>
  <si>
    <t xml:space="preserve">File RTI to NREDCAP:
"Project-wise commissioned solar capacity (MW) by district as of March 2023"
OR request from APERC open data initiative.</t>
  </si>
  <si>
    <t xml:space="preserve">NREDCAP  (nredcap.in)  /  APERC</t>
  </si>
  <si>
    <t xml:space="preserve">Kurnool Solar Park (SECI): ~1,000 MW in Kurnool/Nandyal. Anantapuramu cluster: ~1,500 MW. Kadapa SP: ~1,000 MW. Use SECI awarded project lists + geocoding as bottom-up proxy.</t>
  </si>
  <si>
    <t xml:space="preserve">current_rooftop_solar_mw
(Telangana)</t>
  </si>
  <si>
    <t xml:space="preserve">File RTI to TSSPDCL &amp; TSNPDCL:
"Division-wise net-metering rooftop solar sanctioned capacity (kW) as of March 2024"</t>
  </si>
  <si>
    <t xml:space="preserve">TSSPDCL  /  TSNPDCL</t>
  </si>
  <si>
    <t xml:space="preserve">LOW–MEDIUM</t>
  </si>
  <si>
    <t xml:space="preserve">Use MNRE PM Surya Ghar district dashboard for 2024+ installations. For pre-2024: scrape TSREDCO cumulative achievements page.</t>
  </si>
  <si>
    <t xml:space="preserve">current_rooftop_solar_mw
(Andhra Pradesh — improve precision)</t>
  </si>
  <si>
    <t xml:space="preserve">APERC SEP gives state total (490.232 MW FY22-23). For district precision: RTI to each DISCOM for "division-wise net-metering sanctioned capacity".</t>
  </si>
  <si>
    <t xml:space="preserve">APSPDCL  /  APCPDCL  /  APEPDCL</t>
  </si>
  <si>
    <t xml:space="preserve">Current spreadsheet already apportions 490.232 MW by population. Acceptable for ML feature purposes; refine with DISCOM data if available.</t>
  </si>
  <si>
    <t xml:space="preserve">annual_demand_mu – improve precision
(both states)</t>
  </si>
  <si>
    <t xml:space="preserve">Obtain circle-wise / division-wise energy sales tables from DISCOM ARR filings. These appear as annexures in TGERC / APERC tariff petitions (not in the order PDFs). Request computation Excel sheets filed by TSDISCOMs with TGERC.</t>
  </si>
  <si>
    <t xml:space="preserve">TGERC  /  APERC
(request DISCOMs' ARR computation Excel sheets)</t>
  </si>
  <si>
    <t xml:space="preserve">MEDIUM – requires DISCOM cooperation or TGERC registry access</t>
  </si>
  <si>
    <t xml:space="preserve">Population-weighted estimate in current sheet is adequate for SolarSite-India ML feature matrix (±15 % error at district level; defensible in Applied Energy paper with explicit methodology disclosure).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</si>
</sst>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#,##0.0"/>
    <numFmt numFmtId="168" formatCode="General"/>
    <numFmt numFmtId="169" formatCode="#,##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B5E20"/>
      <name val="Arial"/>
      <family val="0"/>
      <charset val="1"/>
    </font>
    <font>
      <i val="true"/>
      <sz val="9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B5E20"/>
      <name val="Arial"/>
      <family val="0"/>
      <charset val="1"/>
    </font>
    <font>
      <sz val="10"/>
      <color rgb="FFE651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BF360C"/>
      <name val="Arial"/>
      <family val="0"/>
      <charset val="1"/>
    </font>
    <font>
      <sz val="9"/>
      <color rgb="FF1B5E20"/>
      <name val="Arial"/>
      <family val="0"/>
      <charset val="1"/>
    </font>
    <font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AE8FC"/>
      </patternFill>
    </fill>
    <fill>
      <patternFill patternType="solid">
        <fgColor rgb="FFE8F5E9"/>
        <bgColor rgb="FFF2F2F2"/>
      </patternFill>
    </fill>
    <fill>
      <patternFill patternType="solid">
        <fgColor rgb="FFFFF8E1"/>
        <bgColor rgb="FFFFF9F0"/>
      </patternFill>
    </fill>
    <fill>
      <patternFill patternType="solid">
        <fgColor rgb="FFF2F2F2"/>
        <bgColor rgb="FFE8F5E9"/>
      </patternFill>
    </fill>
    <fill>
      <patternFill patternType="solid">
        <fgColor rgb="FFD5E8D4"/>
        <bgColor rgb="FFD6E4F0"/>
      </patternFill>
    </fill>
    <fill>
      <patternFill patternType="solid">
        <fgColor rgb="FFEAD1DC"/>
        <bgColor rgb="FFFFD7D7"/>
      </patternFill>
    </fill>
    <fill>
      <patternFill patternType="solid">
        <fgColor rgb="FFFCE4D6"/>
        <bgColor rgb="FFFFD7D7"/>
      </patternFill>
    </fill>
    <fill>
      <patternFill patternType="solid">
        <fgColor rgb="FFFFF2CC"/>
        <bgColor rgb="FFFFF8E1"/>
      </patternFill>
    </fill>
    <fill>
      <patternFill patternType="solid">
        <fgColor rgb="FFFFD7D7"/>
        <bgColor rgb="FFFCE4D6"/>
      </patternFill>
    </fill>
    <fill>
      <patternFill patternType="solid">
        <fgColor rgb="FFDAE8FC"/>
        <bgColor rgb="FFD6E4F0"/>
      </patternFill>
    </fill>
    <fill>
      <patternFill patternType="solid">
        <fgColor rgb="FFFFE0B2"/>
        <bgColor rgb="FFFCE4D6"/>
      </patternFill>
    </fill>
    <fill>
      <patternFill patternType="solid">
        <fgColor rgb="FFFFF9F0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9F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8FC"/>
      <rgbColor rgb="FFD5E8D4"/>
      <rgbColor rgb="FFFFF2CC"/>
      <rgbColor rgb="FFF2F2F2"/>
      <rgbColor rgb="FFFFD7D7"/>
      <rgbColor rgb="FFFCE4D6"/>
      <rgbColor rgb="FFFFE0B2"/>
      <rgbColor rgb="FF2E75B6"/>
      <rgbColor rgb="FF33CCCC"/>
      <rgbColor rgb="FF99CC00"/>
      <rgbColor rgb="FFFFCC00"/>
      <rgbColor rgb="FFFF9900"/>
      <rgbColor rgb="FFE65100"/>
      <rgbColor rgb="FF666699"/>
      <rgbColor rgb="FFAAAAAA"/>
      <rgbColor rgb="FF1F3864"/>
      <rgbColor rgb="FF339966"/>
      <rgbColor rgb="FF003300"/>
      <rgbColor rgb="FF333300"/>
      <rgbColor rgb="FFBF36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5" min="4" style="1" width="16"/>
    <col collapsed="false" customWidth="true" hidden="false" outlineLevel="0" max="9" min="6" style="1" width="18"/>
    <col collapsed="false" customWidth="true" hidden="false" outlineLevel="0" max="10" min="10" style="1" width="11"/>
    <col collapsed="false" customWidth="true" hidden="false" outlineLevel="0" max="11" min="11" style="1" width="44"/>
    <col collapsed="false" customWidth="true" hidden="false" outlineLevel="0" max="12" min="12" style="1" width="40"/>
    <col collapsed="false" customWidth="true" hidden="false" outlineLevel="0" max="13" min="13" style="1" width="42"/>
    <col collapsed="false" customWidth="true" hidden="false" outlineLevel="0" max="14" min="14" style="1" width="5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42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5" hidden="false" customHeight="true" outlineLevel="0" collapsed="false">
      <c r="A4" s="5" t="s">
        <v>16</v>
      </c>
      <c r="B4" s="6" t="s">
        <v>17</v>
      </c>
      <c r="C4" s="7" t="n">
        <v>3943323</v>
      </c>
      <c r="D4" s="8" t="n">
        <v>8294.68</v>
      </c>
      <c r="E4" s="8" t="n">
        <v>8294680</v>
      </c>
      <c r="F4" s="9" t="n">
        <v>491.3</v>
      </c>
      <c r="G4" s="10" t="n">
        <v>989871.2</v>
      </c>
      <c r="H4" s="9" t="n">
        <v>43.825</v>
      </c>
      <c r="I4" s="10" t="n">
        <v>69103.3</v>
      </c>
      <c r="J4" s="11" t="s">
        <v>18</v>
      </c>
      <c r="K4" s="12" t="s">
        <v>19</v>
      </c>
      <c r="L4" s="12" t="s">
        <v>20</v>
      </c>
      <c r="M4" s="12" t="s">
        <v>21</v>
      </c>
      <c r="N4" s="12" t="s">
        <v>22</v>
      </c>
    </row>
    <row r="5" customFormat="false" ht="15" hidden="false" customHeight="true" outlineLevel="0" collapsed="false">
      <c r="A5" s="5" t="s">
        <v>23</v>
      </c>
      <c r="B5" s="6" t="s">
        <v>17</v>
      </c>
      <c r="C5" s="7" t="n">
        <v>2440073</v>
      </c>
      <c r="D5" s="8" t="n">
        <v>5132.63</v>
      </c>
      <c r="E5" s="8" t="n">
        <v>5132630</v>
      </c>
      <c r="F5" s="9" t="n">
        <v>304.01</v>
      </c>
      <c r="G5" s="10" t="n">
        <v>612519.3</v>
      </c>
      <c r="H5" s="9" t="n">
        <v>27.118</v>
      </c>
      <c r="I5" s="10" t="n">
        <v>42759.7</v>
      </c>
      <c r="J5" s="11" t="s">
        <v>18</v>
      </c>
      <c r="K5" s="12" t="s">
        <v>19</v>
      </c>
      <c r="L5" s="12" t="s">
        <v>20</v>
      </c>
      <c r="M5" s="12" t="s">
        <v>21</v>
      </c>
      <c r="N5" s="12"/>
    </row>
    <row r="6" customFormat="false" ht="15" hidden="false" customHeight="true" outlineLevel="0" collapsed="false">
      <c r="A6" s="5" t="s">
        <v>24</v>
      </c>
      <c r="B6" s="6" t="s">
        <v>17</v>
      </c>
      <c r="C6" s="7" t="n">
        <v>2446265</v>
      </c>
      <c r="D6" s="8" t="n">
        <v>5145.66</v>
      </c>
      <c r="E6" s="8" t="n">
        <v>5145660</v>
      </c>
      <c r="F6" s="9" t="n">
        <v>304.78</v>
      </c>
      <c r="G6" s="10" t="n">
        <v>614070.7</v>
      </c>
      <c r="H6" s="9" t="n">
        <v>27.187</v>
      </c>
      <c r="I6" s="10" t="n">
        <v>42868.5</v>
      </c>
      <c r="J6" s="11" t="s">
        <v>18</v>
      </c>
      <c r="K6" s="12" t="s">
        <v>19</v>
      </c>
      <c r="L6" s="12" t="s">
        <v>20</v>
      </c>
      <c r="M6" s="12" t="s">
        <v>21</v>
      </c>
      <c r="N6" s="12"/>
    </row>
    <row r="7" customFormat="false" ht="15" hidden="false" customHeight="true" outlineLevel="0" collapsed="false">
      <c r="A7" s="5" t="s">
        <v>25</v>
      </c>
      <c r="B7" s="6" t="s">
        <v>17</v>
      </c>
      <c r="C7" s="7" t="n">
        <v>1527628</v>
      </c>
      <c r="D7" s="8" t="n">
        <v>3213.33</v>
      </c>
      <c r="E7" s="8" t="n">
        <v>3213330</v>
      </c>
      <c r="F7" s="9" t="n">
        <v>190.33</v>
      </c>
      <c r="G7" s="10" t="n">
        <v>383476.9</v>
      </c>
      <c r="H7" s="9" t="n">
        <v>16.978</v>
      </c>
      <c r="I7" s="10" t="n">
        <v>26770.9</v>
      </c>
      <c r="J7" s="11" t="s">
        <v>18</v>
      </c>
      <c r="K7" s="12" t="s">
        <v>19</v>
      </c>
      <c r="L7" s="12" t="s">
        <v>20</v>
      </c>
      <c r="M7" s="12" t="s">
        <v>21</v>
      </c>
      <c r="N7" s="12"/>
    </row>
    <row r="8" customFormat="false" ht="15" hidden="false" customHeight="true" outlineLevel="0" collapsed="false">
      <c r="A8" s="5" t="s">
        <v>26</v>
      </c>
      <c r="B8" s="6" t="s">
        <v>17</v>
      </c>
      <c r="C8" s="7" t="n">
        <v>927140</v>
      </c>
      <c r="D8" s="8" t="n">
        <v>1950.22</v>
      </c>
      <c r="E8" s="8" t="n">
        <v>1950220</v>
      </c>
      <c r="F8" s="9" t="n">
        <v>115.51</v>
      </c>
      <c r="G8" s="10" t="n">
        <v>232729.5</v>
      </c>
      <c r="H8" s="9" t="n">
        <v>10.304</v>
      </c>
      <c r="I8" s="10" t="n">
        <v>16247.3</v>
      </c>
      <c r="J8" s="11" t="s">
        <v>18</v>
      </c>
      <c r="K8" s="12" t="s">
        <v>19</v>
      </c>
      <c r="L8" s="12" t="s">
        <v>20</v>
      </c>
      <c r="M8" s="12" t="s">
        <v>21</v>
      </c>
      <c r="N8" s="12"/>
    </row>
    <row r="9" customFormat="false" ht="15" hidden="false" customHeight="true" outlineLevel="0" collapsed="false">
      <c r="A9" s="5" t="s">
        <v>27</v>
      </c>
      <c r="B9" s="6" t="s">
        <v>17</v>
      </c>
      <c r="C9" s="7" t="n">
        <v>1618416</v>
      </c>
      <c r="D9" s="8" t="n">
        <v>3404.3</v>
      </c>
      <c r="E9" s="8" t="n">
        <v>3404300</v>
      </c>
      <c r="F9" s="9" t="n">
        <v>201.64</v>
      </c>
      <c r="G9" s="10" t="n">
        <v>406264.3</v>
      </c>
      <c r="H9" s="9" t="n">
        <v>17.987</v>
      </c>
      <c r="I9" s="10" t="n">
        <v>28361.9</v>
      </c>
      <c r="J9" s="11" t="s">
        <v>18</v>
      </c>
      <c r="K9" s="12" t="s">
        <v>19</v>
      </c>
      <c r="L9" s="12" t="s">
        <v>20</v>
      </c>
      <c r="M9" s="12" t="s">
        <v>21</v>
      </c>
      <c r="N9" s="12"/>
    </row>
    <row r="10" customFormat="false" ht="15" hidden="false" customHeight="true" outlineLevel="0" collapsed="false">
      <c r="A10" s="5" t="s">
        <v>28</v>
      </c>
      <c r="B10" s="6" t="s">
        <v>17</v>
      </c>
      <c r="C10" s="7" t="n">
        <v>1099560</v>
      </c>
      <c r="D10" s="8" t="n">
        <v>2312.9</v>
      </c>
      <c r="E10" s="8" t="n">
        <v>2312900</v>
      </c>
      <c r="F10" s="9" t="n">
        <v>137</v>
      </c>
      <c r="G10" s="10" t="n">
        <v>276027.6</v>
      </c>
      <c r="H10" s="9" t="n">
        <v>12.22</v>
      </c>
      <c r="I10" s="10" t="n">
        <v>19268.5</v>
      </c>
      <c r="J10" s="11" t="s">
        <v>18</v>
      </c>
      <c r="K10" s="12" t="s">
        <v>19</v>
      </c>
      <c r="L10" s="12" t="s">
        <v>20</v>
      </c>
      <c r="M10" s="12" t="s">
        <v>21</v>
      </c>
      <c r="N10" s="12"/>
    </row>
    <row r="11" customFormat="false" ht="15" hidden="false" customHeight="true" outlineLevel="0" collapsed="false">
      <c r="A11" s="5" t="s">
        <v>29</v>
      </c>
      <c r="B11" s="6" t="s">
        <v>17</v>
      </c>
      <c r="C11" s="7" t="n">
        <v>739448</v>
      </c>
      <c r="D11" s="8" t="n">
        <v>1555.41</v>
      </c>
      <c r="E11" s="8" t="n">
        <v>1555410</v>
      </c>
      <c r="F11" s="9" t="n">
        <v>92.13</v>
      </c>
      <c r="G11" s="10" t="n">
        <v>185623.5</v>
      </c>
      <c r="H11" s="9" t="n">
        <v>8.218</v>
      </c>
      <c r="I11" s="10" t="n">
        <v>12958.1</v>
      </c>
      <c r="J11" s="11" t="s">
        <v>18</v>
      </c>
      <c r="K11" s="12" t="s">
        <v>19</v>
      </c>
      <c r="L11" s="12" t="s">
        <v>20</v>
      </c>
      <c r="M11" s="12" t="s">
        <v>21</v>
      </c>
      <c r="N11" s="12"/>
    </row>
    <row r="12" customFormat="false" ht="15" hidden="false" customHeight="true" outlineLevel="0" collapsed="false">
      <c r="A12" s="5" t="s">
        <v>30</v>
      </c>
      <c r="B12" s="6" t="s">
        <v>17</v>
      </c>
      <c r="C12" s="7" t="n">
        <v>919903</v>
      </c>
      <c r="D12" s="8" t="n">
        <v>1934.99</v>
      </c>
      <c r="E12" s="8" t="n">
        <v>1934990</v>
      </c>
      <c r="F12" s="9" t="n">
        <v>114.61</v>
      </c>
      <c r="G12" s="10" t="n">
        <v>230916.2</v>
      </c>
      <c r="H12" s="9" t="n">
        <v>10.224</v>
      </c>
      <c r="I12" s="10" t="n">
        <v>16121.2</v>
      </c>
      <c r="J12" s="11" t="s">
        <v>18</v>
      </c>
      <c r="K12" s="12" t="s">
        <v>19</v>
      </c>
      <c r="L12" s="12" t="s">
        <v>20</v>
      </c>
      <c r="M12" s="12" t="s">
        <v>21</v>
      </c>
      <c r="N12" s="12"/>
    </row>
    <row r="13" customFormat="false" ht="15" hidden="false" customHeight="true" outlineLevel="0" collapsed="false">
      <c r="A13" s="5" t="s">
        <v>31</v>
      </c>
      <c r="B13" s="6" t="s">
        <v>17</v>
      </c>
      <c r="C13" s="7" t="n">
        <v>893308</v>
      </c>
      <c r="D13" s="8" t="n">
        <v>1879.05</v>
      </c>
      <c r="E13" s="8" t="n">
        <v>1879050</v>
      </c>
      <c r="F13" s="9" t="n">
        <v>111.3</v>
      </c>
      <c r="G13" s="10" t="n">
        <v>224247.2</v>
      </c>
      <c r="H13" s="9" t="n">
        <v>9.928</v>
      </c>
      <c r="I13" s="10" t="n">
        <v>15654.5</v>
      </c>
      <c r="J13" s="11" t="s">
        <v>18</v>
      </c>
      <c r="K13" s="12" t="s">
        <v>19</v>
      </c>
      <c r="L13" s="12" t="s">
        <v>20</v>
      </c>
      <c r="M13" s="12" t="s">
        <v>21</v>
      </c>
      <c r="N13" s="12"/>
    </row>
    <row r="14" customFormat="false" ht="15" hidden="false" customHeight="true" outlineLevel="0" collapsed="false">
      <c r="A14" s="5" t="s">
        <v>32</v>
      </c>
      <c r="B14" s="6" t="s">
        <v>17</v>
      </c>
      <c r="C14" s="7" t="n">
        <v>577758</v>
      </c>
      <c r="D14" s="8" t="n">
        <v>1215.3</v>
      </c>
      <c r="E14" s="8" t="n">
        <v>1215300</v>
      </c>
      <c r="F14" s="9" t="n">
        <v>71.98</v>
      </c>
      <c r="G14" s="10" t="n">
        <v>145025.3</v>
      </c>
      <c r="H14" s="9" t="n">
        <v>6.421</v>
      </c>
      <c r="I14" s="10" t="n">
        <v>10124.6</v>
      </c>
      <c r="J14" s="11" t="s">
        <v>18</v>
      </c>
      <c r="K14" s="12" t="s">
        <v>19</v>
      </c>
      <c r="L14" s="12" t="s">
        <v>20</v>
      </c>
      <c r="M14" s="12" t="s">
        <v>21</v>
      </c>
      <c r="N14" s="12"/>
    </row>
    <row r="15" customFormat="false" ht="15" hidden="false" customHeight="true" outlineLevel="0" collapsed="false">
      <c r="A15" s="5" t="s">
        <v>33</v>
      </c>
      <c r="B15" s="6" t="s">
        <v>17</v>
      </c>
      <c r="C15" s="7" t="n">
        <v>566874</v>
      </c>
      <c r="D15" s="8" t="n">
        <v>1192.4</v>
      </c>
      <c r="E15" s="8" t="n">
        <v>1192400</v>
      </c>
      <c r="F15" s="9" t="n">
        <v>70.63</v>
      </c>
      <c r="G15" s="10" t="n">
        <v>142305.3</v>
      </c>
      <c r="H15" s="9" t="n">
        <v>6.3</v>
      </c>
      <c r="I15" s="10" t="n">
        <v>9933.8</v>
      </c>
      <c r="J15" s="11" t="s">
        <v>18</v>
      </c>
      <c r="K15" s="12" t="s">
        <v>19</v>
      </c>
      <c r="L15" s="12" t="s">
        <v>20</v>
      </c>
      <c r="M15" s="12" t="s">
        <v>21</v>
      </c>
      <c r="N15" s="12"/>
    </row>
    <row r="16" customFormat="false" ht="15" hidden="false" customHeight="true" outlineLevel="0" collapsed="false">
      <c r="A16" s="5" t="s">
        <v>34</v>
      </c>
      <c r="B16" s="6" t="s">
        <v>17</v>
      </c>
      <c r="C16" s="7" t="n">
        <v>609990</v>
      </c>
      <c r="D16" s="8" t="n">
        <v>1283.1</v>
      </c>
      <c r="E16" s="8" t="n">
        <v>1283100</v>
      </c>
      <c r="F16" s="9" t="n">
        <v>76</v>
      </c>
      <c r="G16" s="10" t="n">
        <v>153124.8</v>
      </c>
      <c r="H16" s="9" t="n">
        <v>6.779</v>
      </c>
      <c r="I16" s="10" t="n">
        <v>10689.1</v>
      </c>
      <c r="J16" s="11" t="s">
        <v>18</v>
      </c>
      <c r="K16" s="12" t="s">
        <v>19</v>
      </c>
      <c r="L16" s="12" t="s">
        <v>20</v>
      </c>
      <c r="M16" s="12" t="s">
        <v>21</v>
      </c>
      <c r="N16" s="12"/>
    </row>
    <row r="17" customFormat="false" ht="15" hidden="false" customHeight="true" outlineLevel="0" collapsed="false">
      <c r="A17" s="13" t="s">
        <v>35</v>
      </c>
      <c r="B17" s="14" t="s">
        <v>36</v>
      </c>
      <c r="C17" s="15" t="n">
        <v>1571022</v>
      </c>
      <c r="D17" s="8" t="n">
        <v>3304.6</v>
      </c>
      <c r="E17" s="8" t="n">
        <v>3304600</v>
      </c>
      <c r="F17" s="9" t="n">
        <v>195.74</v>
      </c>
      <c r="G17" s="10" t="n">
        <v>394377</v>
      </c>
      <c r="H17" s="9" t="n">
        <v>17.46</v>
      </c>
      <c r="I17" s="10" t="n">
        <v>27530.9</v>
      </c>
      <c r="J17" s="16" t="s">
        <v>18</v>
      </c>
      <c r="K17" s="12" t="s">
        <v>19</v>
      </c>
      <c r="L17" s="12" t="s">
        <v>20</v>
      </c>
      <c r="M17" s="12" t="s">
        <v>21</v>
      </c>
      <c r="N17" s="12"/>
    </row>
    <row r="18" customFormat="false" ht="15" hidden="false" customHeight="true" outlineLevel="0" collapsed="false">
      <c r="A18" s="13" t="s">
        <v>37</v>
      </c>
      <c r="B18" s="14" t="s">
        <v>36</v>
      </c>
      <c r="C18" s="15" t="n">
        <v>972625</v>
      </c>
      <c r="D18" s="8" t="n">
        <v>2045.89</v>
      </c>
      <c r="E18" s="8" t="n">
        <v>2045890</v>
      </c>
      <c r="F18" s="9" t="n">
        <v>121.18</v>
      </c>
      <c r="G18" s="10" t="n">
        <v>244153.5</v>
      </c>
      <c r="H18" s="9" t="n">
        <v>10.809</v>
      </c>
      <c r="I18" s="10" t="n">
        <v>17043.6</v>
      </c>
      <c r="J18" s="16" t="s">
        <v>18</v>
      </c>
      <c r="K18" s="12" t="s">
        <v>19</v>
      </c>
      <c r="L18" s="12" t="s">
        <v>20</v>
      </c>
      <c r="M18" s="12" t="s">
        <v>21</v>
      </c>
      <c r="N18" s="12"/>
    </row>
    <row r="19" customFormat="false" ht="15" hidden="false" customHeight="true" outlineLevel="0" collapsed="false">
      <c r="A19" s="13" t="s">
        <v>38</v>
      </c>
      <c r="B19" s="14" t="s">
        <v>36</v>
      </c>
      <c r="C19" s="15" t="n">
        <v>1005711</v>
      </c>
      <c r="D19" s="8" t="n">
        <v>2115.49</v>
      </c>
      <c r="E19" s="8" t="n">
        <v>2115490</v>
      </c>
      <c r="F19" s="9" t="n">
        <v>125.3</v>
      </c>
      <c r="G19" s="10" t="n">
        <v>252454.4</v>
      </c>
      <c r="H19" s="9" t="n">
        <v>11.177</v>
      </c>
      <c r="I19" s="10" t="n">
        <v>17623.9</v>
      </c>
      <c r="J19" s="16" t="s">
        <v>18</v>
      </c>
      <c r="K19" s="12" t="s">
        <v>19</v>
      </c>
      <c r="L19" s="12" t="s">
        <v>20</v>
      </c>
      <c r="M19" s="12" t="s">
        <v>21</v>
      </c>
      <c r="N19" s="12"/>
    </row>
    <row r="20" customFormat="false" ht="15" hidden="false" customHeight="true" outlineLevel="0" collapsed="false">
      <c r="A20" s="13" t="s">
        <v>39</v>
      </c>
      <c r="B20" s="14" t="s">
        <v>36</v>
      </c>
      <c r="C20" s="15" t="n">
        <v>985417</v>
      </c>
      <c r="D20" s="8" t="n">
        <v>2072.8</v>
      </c>
      <c r="E20" s="8" t="n">
        <v>2072800</v>
      </c>
      <c r="F20" s="9" t="n">
        <v>122.77</v>
      </c>
      <c r="G20" s="10" t="n">
        <v>247357</v>
      </c>
      <c r="H20" s="9" t="n">
        <v>10.952</v>
      </c>
      <c r="I20" s="10" t="n">
        <v>17269.1</v>
      </c>
      <c r="J20" s="16" t="s">
        <v>18</v>
      </c>
      <c r="K20" s="12" t="s">
        <v>19</v>
      </c>
      <c r="L20" s="12" t="s">
        <v>20</v>
      </c>
      <c r="M20" s="12" t="s">
        <v>21</v>
      </c>
      <c r="N20" s="12"/>
    </row>
    <row r="21" customFormat="false" ht="15" hidden="false" customHeight="true" outlineLevel="0" collapsed="false">
      <c r="A21" s="13" t="s">
        <v>40</v>
      </c>
      <c r="B21" s="14" t="s">
        <v>36</v>
      </c>
      <c r="C21" s="15" t="n">
        <v>552037</v>
      </c>
      <c r="D21" s="8" t="n">
        <v>1161.2</v>
      </c>
      <c r="E21" s="8" t="n">
        <v>1161200</v>
      </c>
      <c r="F21" s="9" t="n">
        <v>68.78</v>
      </c>
      <c r="G21" s="10" t="n">
        <v>138577.9</v>
      </c>
      <c r="H21" s="9" t="n">
        <v>6.135</v>
      </c>
      <c r="I21" s="10" t="n">
        <v>9673.7</v>
      </c>
      <c r="J21" s="16" t="s">
        <v>18</v>
      </c>
      <c r="K21" s="12" t="s">
        <v>19</v>
      </c>
      <c r="L21" s="12" t="s">
        <v>20</v>
      </c>
      <c r="M21" s="12" t="s">
        <v>21</v>
      </c>
      <c r="N21" s="12"/>
    </row>
    <row r="22" customFormat="false" ht="15" hidden="false" customHeight="true" outlineLevel="0" collapsed="false">
      <c r="A22" s="13" t="s">
        <v>41</v>
      </c>
      <c r="B22" s="14" t="s">
        <v>36</v>
      </c>
      <c r="C22" s="15" t="n">
        <v>795332</v>
      </c>
      <c r="D22" s="8" t="n">
        <v>1672.96</v>
      </c>
      <c r="E22" s="8" t="n">
        <v>1672960</v>
      </c>
      <c r="F22" s="9" t="n">
        <v>99.09</v>
      </c>
      <c r="G22" s="10" t="n">
        <v>199646.5</v>
      </c>
      <c r="H22" s="9" t="n">
        <v>8.839</v>
      </c>
      <c r="I22" s="10" t="n">
        <v>13937.3</v>
      </c>
      <c r="J22" s="16" t="s">
        <v>18</v>
      </c>
      <c r="K22" s="12" t="s">
        <v>19</v>
      </c>
      <c r="L22" s="12" t="s">
        <v>20</v>
      </c>
      <c r="M22" s="12" t="s">
        <v>21</v>
      </c>
      <c r="N22" s="12"/>
    </row>
    <row r="23" customFormat="false" ht="15" hidden="false" customHeight="true" outlineLevel="0" collapsed="false">
      <c r="A23" s="13" t="s">
        <v>42</v>
      </c>
      <c r="B23" s="14" t="s">
        <v>36</v>
      </c>
      <c r="C23" s="15" t="n">
        <v>416763</v>
      </c>
      <c r="D23" s="8" t="n">
        <v>876.65</v>
      </c>
      <c r="E23" s="8" t="n">
        <v>876650</v>
      </c>
      <c r="F23" s="9" t="n">
        <v>51.93</v>
      </c>
      <c r="G23" s="10" t="n">
        <v>104628.6</v>
      </c>
      <c r="H23" s="9" t="n">
        <v>4.632</v>
      </c>
      <c r="I23" s="10" t="n">
        <v>7303.7</v>
      </c>
      <c r="J23" s="16" t="s">
        <v>18</v>
      </c>
      <c r="K23" s="12" t="s">
        <v>19</v>
      </c>
      <c r="L23" s="12" t="s">
        <v>20</v>
      </c>
      <c r="M23" s="12" t="s">
        <v>21</v>
      </c>
      <c r="N23" s="12"/>
    </row>
    <row r="24" customFormat="false" ht="15" hidden="false" customHeight="true" outlineLevel="0" collapsed="false">
      <c r="A24" s="13" t="s">
        <v>43</v>
      </c>
      <c r="B24" s="14" t="s">
        <v>36</v>
      </c>
      <c r="C24" s="15" t="n">
        <v>708972</v>
      </c>
      <c r="D24" s="8" t="n">
        <v>1491.3</v>
      </c>
      <c r="E24" s="8" t="n">
        <v>1491300</v>
      </c>
      <c r="F24" s="9" t="n">
        <v>88.33</v>
      </c>
      <c r="G24" s="10" t="n">
        <v>177967.3</v>
      </c>
      <c r="H24" s="9" t="n">
        <v>7.879</v>
      </c>
      <c r="I24" s="10" t="n">
        <v>12423.6</v>
      </c>
      <c r="J24" s="16" t="s">
        <v>18</v>
      </c>
      <c r="K24" s="12" t="s">
        <v>19</v>
      </c>
      <c r="L24" s="12" t="s">
        <v>20</v>
      </c>
      <c r="M24" s="12" t="s">
        <v>21</v>
      </c>
      <c r="N24" s="12"/>
    </row>
    <row r="25" customFormat="false" ht="15" hidden="false" customHeight="true" outlineLevel="0" collapsed="false">
      <c r="A25" s="13" t="s">
        <v>44</v>
      </c>
      <c r="B25" s="14" t="s">
        <v>36</v>
      </c>
      <c r="C25" s="15" t="n">
        <v>515812</v>
      </c>
      <c r="D25" s="8" t="n">
        <v>1085</v>
      </c>
      <c r="E25" s="8" t="n">
        <v>1085000</v>
      </c>
      <c r="F25" s="9" t="n">
        <v>64.27</v>
      </c>
      <c r="G25" s="10" t="n">
        <v>129491.2</v>
      </c>
      <c r="H25" s="9" t="n">
        <v>5.733</v>
      </c>
      <c r="I25" s="10" t="n">
        <v>9039.8</v>
      </c>
      <c r="J25" s="16" t="s">
        <v>18</v>
      </c>
      <c r="K25" s="12" t="s">
        <v>19</v>
      </c>
      <c r="L25" s="12" t="s">
        <v>20</v>
      </c>
      <c r="M25" s="12" t="s">
        <v>21</v>
      </c>
      <c r="N25" s="12"/>
    </row>
    <row r="26" customFormat="false" ht="15" hidden="false" customHeight="true" outlineLevel="0" collapsed="false">
      <c r="A26" s="13" t="s">
        <v>45</v>
      </c>
      <c r="B26" s="14" t="s">
        <v>36</v>
      </c>
      <c r="C26" s="15" t="n">
        <v>807037</v>
      </c>
      <c r="D26" s="8" t="n">
        <v>1697.58</v>
      </c>
      <c r="E26" s="8" t="n">
        <v>1697580</v>
      </c>
      <c r="F26" s="9" t="n">
        <v>100.55</v>
      </c>
      <c r="G26" s="10" t="n">
        <v>202588.1</v>
      </c>
      <c r="H26" s="9" t="n">
        <v>8.969</v>
      </c>
      <c r="I26" s="10" t="n">
        <v>14142.3</v>
      </c>
      <c r="J26" s="16" t="s">
        <v>18</v>
      </c>
      <c r="K26" s="12" t="s">
        <v>19</v>
      </c>
      <c r="L26" s="12" t="s">
        <v>20</v>
      </c>
      <c r="M26" s="12" t="s">
        <v>21</v>
      </c>
      <c r="N26" s="12"/>
    </row>
    <row r="27" customFormat="false" ht="15" hidden="false" customHeight="true" outlineLevel="0" collapsed="false">
      <c r="A27" s="13" t="s">
        <v>46</v>
      </c>
      <c r="B27" s="14" t="s">
        <v>36</v>
      </c>
      <c r="C27" s="15" t="n">
        <v>709418</v>
      </c>
      <c r="D27" s="8" t="n">
        <v>1492.24</v>
      </c>
      <c r="E27" s="8" t="n">
        <v>1492240</v>
      </c>
      <c r="F27" s="9" t="n">
        <v>88.39</v>
      </c>
      <c r="G27" s="10" t="n">
        <v>178088.2</v>
      </c>
      <c r="H27" s="9" t="n">
        <v>7.884</v>
      </c>
      <c r="I27" s="10" t="n">
        <v>12431.5</v>
      </c>
      <c r="J27" s="16" t="s">
        <v>18</v>
      </c>
      <c r="K27" s="12" t="s">
        <v>19</v>
      </c>
      <c r="L27" s="12" t="s">
        <v>20</v>
      </c>
      <c r="M27" s="12" t="s">
        <v>21</v>
      </c>
      <c r="N27" s="12"/>
    </row>
    <row r="28" customFormat="false" ht="15" hidden="false" customHeight="true" outlineLevel="0" collapsed="false">
      <c r="A28" s="13" t="s">
        <v>47</v>
      </c>
      <c r="B28" s="14" t="s">
        <v>36</v>
      </c>
      <c r="C28" s="15" t="n">
        <v>767428</v>
      </c>
      <c r="D28" s="8" t="n">
        <v>1614.27</v>
      </c>
      <c r="E28" s="8" t="n">
        <v>1614270</v>
      </c>
      <c r="F28" s="9" t="n">
        <v>95.62</v>
      </c>
      <c r="G28" s="10" t="n">
        <v>192655.2</v>
      </c>
      <c r="H28" s="9" t="n">
        <v>8.529</v>
      </c>
      <c r="I28" s="10" t="n">
        <v>13448.5</v>
      </c>
      <c r="J28" s="16" t="s">
        <v>18</v>
      </c>
      <c r="K28" s="12" t="s">
        <v>19</v>
      </c>
      <c r="L28" s="12" t="s">
        <v>20</v>
      </c>
      <c r="M28" s="12" t="s">
        <v>21</v>
      </c>
      <c r="N28" s="12"/>
    </row>
    <row r="29" customFormat="false" ht="15" hidden="false" customHeight="true" outlineLevel="0" collapsed="false">
      <c r="A29" s="13" t="s">
        <v>48</v>
      </c>
      <c r="B29" s="14" t="s">
        <v>36</v>
      </c>
      <c r="C29" s="15" t="n">
        <v>1012065</v>
      </c>
      <c r="D29" s="8" t="n">
        <v>2128.85</v>
      </c>
      <c r="E29" s="8" t="n">
        <v>2128850</v>
      </c>
      <c r="F29" s="9" t="n">
        <v>126.09</v>
      </c>
      <c r="G29" s="10" t="n">
        <v>254046.1</v>
      </c>
      <c r="H29" s="9" t="n">
        <v>11.248</v>
      </c>
      <c r="I29" s="10" t="n">
        <v>17735.8</v>
      </c>
      <c r="J29" s="16" t="s">
        <v>18</v>
      </c>
      <c r="K29" s="12" t="s">
        <v>19</v>
      </c>
      <c r="L29" s="12" t="s">
        <v>20</v>
      </c>
      <c r="M29" s="12" t="s">
        <v>21</v>
      </c>
      <c r="N29" s="12"/>
    </row>
    <row r="30" customFormat="false" ht="15" hidden="false" customHeight="true" outlineLevel="0" collapsed="false">
      <c r="A30" s="13" t="s">
        <v>49</v>
      </c>
      <c r="B30" s="14" t="s">
        <v>36</v>
      </c>
      <c r="C30" s="15" t="n">
        <v>1080858</v>
      </c>
      <c r="D30" s="8" t="n">
        <v>2273.56</v>
      </c>
      <c r="E30" s="8" t="n">
        <v>2273560</v>
      </c>
      <c r="F30" s="9" t="n">
        <v>134.67</v>
      </c>
      <c r="G30" s="10" t="n">
        <v>271333.1</v>
      </c>
      <c r="H30" s="9" t="n">
        <v>12.012</v>
      </c>
      <c r="I30" s="10" t="n">
        <v>18940.5</v>
      </c>
      <c r="J30" s="16" t="s">
        <v>18</v>
      </c>
      <c r="K30" s="12" t="s">
        <v>19</v>
      </c>
      <c r="L30" s="12" t="s">
        <v>20</v>
      </c>
      <c r="M30" s="12" t="s">
        <v>21</v>
      </c>
      <c r="N30" s="12"/>
    </row>
    <row r="31" customFormat="false" ht="15" hidden="false" customHeight="true" outlineLevel="0" collapsed="false">
      <c r="A31" s="13" t="s">
        <v>50</v>
      </c>
      <c r="B31" s="14" t="s">
        <v>36</v>
      </c>
      <c r="C31" s="15" t="n">
        <v>718537</v>
      </c>
      <c r="D31" s="8" t="n">
        <v>1511.42</v>
      </c>
      <c r="E31" s="8" t="n">
        <v>1511420</v>
      </c>
      <c r="F31" s="9" t="n">
        <v>89.52</v>
      </c>
      <c r="G31" s="10" t="n">
        <v>180364.9</v>
      </c>
      <c r="H31" s="9" t="n">
        <v>7.986</v>
      </c>
      <c r="I31" s="10" t="n">
        <v>12592.3</v>
      </c>
      <c r="J31" s="16" t="s">
        <v>18</v>
      </c>
      <c r="K31" s="12" t="s">
        <v>19</v>
      </c>
      <c r="L31" s="12" t="s">
        <v>20</v>
      </c>
      <c r="M31" s="12" t="s">
        <v>21</v>
      </c>
      <c r="N31" s="12"/>
    </row>
    <row r="32" customFormat="false" ht="15" hidden="false" customHeight="true" outlineLevel="0" collapsed="false">
      <c r="A32" s="13" t="s">
        <v>51</v>
      </c>
      <c r="B32" s="14" t="s">
        <v>36</v>
      </c>
      <c r="C32" s="15" t="n">
        <v>566376</v>
      </c>
      <c r="D32" s="8" t="n">
        <v>1191.36</v>
      </c>
      <c r="E32" s="8" t="n">
        <v>1191360</v>
      </c>
      <c r="F32" s="9" t="n">
        <v>70.57</v>
      </c>
      <c r="G32" s="10" t="n">
        <v>142184.4</v>
      </c>
      <c r="H32" s="9" t="n">
        <v>6.295</v>
      </c>
      <c r="I32" s="10" t="n">
        <v>9926</v>
      </c>
      <c r="J32" s="16" t="s">
        <v>18</v>
      </c>
      <c r="K32" s="12" t="s">
        <v>19</v>
      </c>
      <c r="L32" s="12" t="s">
        <v>20</v>
      </c>
      <c r="M32" s="12" t="s">
        <v>21</v>
      </c>
      <c r="N32" s="12"/>
    </row>
    <row r="33" customFormat="false" ht="15" hidden="false" customHeight="true" outlineLevel="0" collapsed="false">
      <c r="A33" s="13" t="s">
        <v>52</v>
      </c>
      <c r="B33" s="14" t="s">
        <v>36</v>
      </c>
      <c r="C33" s="15" t="n">
        <v>257744</v>
      </c>
      <c r="D33" s="8" t="n">
        <v>542.16</v>
      </c>
      <c r="E33" s="8" t="n">
        <v>542160</v>
      </c>
      <c r="F33" s="9" t="n">
        <v>32.11</v>
      </c>
      <c r="G33" s="10" t="n">
        <v>64695.2</v>
      </c>
      <c r="H33" s="9" t="n">
        <v>2.864</v>
      </c>
      <c r="I33" s="10" t="n">
        <v>4516</v>
      </c>
      <c r="J33" s="16" t="s">
        <v>18</v>
      </c>
      <c r="K33" s="12" t="s">
        <v>19</v>
      </c>
      <c r="L33" s="12" t="s">
        <v>20</v>
      </c>
      <c r="M33" s="12" t="s">
        <v>21</v>
      </c>
      <c r="N33" s="12"/>
    </row>
    <row r="34" customFormat="false" ht="15" hidden="false" customHeight="true" outlineLevel="0" collapsed="false">
      <c r="A34" s="13" t="s">
        <v>53</v>
      </c>
      <c r="B34" s="14" t="s">
        <v>36</v>
      </c>
      <c r="C34" s="15" t="n">
        <v>1069261</v>
      </c>
      <c r="D34" s="8" t="n">
        <v>2249.16</v>
      </c>
      <c r="E34" s="8" t="n">
        <v>2249160</v>
      </c>
      <c r="F34" s="9" t="n">
        <v>133.22</v>
      </c>
      <c r="G34" s="10" t="n">
        <v>268411.7</v>
      </c>
      <c r="H34" s="9" t="n">
        <v>11.883</v>
      </c>
      <c r="I34" s="10" t="n">
        <v>18737.1</v>
      </c>
      <c r="J34" s="16" t="s">
        <v>18</v>
      </c>
      <c r="K34" s="12" t="s">
        <v>19</v>
      </c>
      <c r="L34" s="12" t="s">
        <v>20</v>
      </c>
      <c r="M34" s="12" t="s">
        <v>21</v>
      </c>
      <c r="N34" s="12"/>
    </row>
    <row r="35" customFormat="false" ht="15" hidden="false" customHeight="true" outlineLevel="0" collapsed="false">
      <c r="A35" s="13" t="s">
        <v>54</v>
      </c>
      <c r="B35" s="14" t="s">
        <v>36</v>
      </c>
      <c r="C35" s="15" t="n">
        <v>1401639</v>
      </c>
      <c r="D35" s="8" t="n">
        <v>2948.31</v>
      </c>
      <c r="E35" s="8" t="n">
        <v>2948310</v>
      </c>
      <c r="F35" s="9" t="n">
        <v>174.63</v>
      </c>
      <c r="G35" s="10" t="n">
        <v>351844.5</v>
      </c>
      <c r="H35" s="9" t="n">
        <v>15.577</v>
      </c>
      <c r="I35" s="10" t="n">
        <v>24561.8</v>
      </c>
      <c r="J35" s="16" t="s">
        <v>18</v>
      </c>
      <c r="K35" s="12" t="s">
        <v>19</v>
      </c>
      <c r="L35" s="12" t="s">
        <v>20</v>
      </c>
      <c r="M35" s="12" t="s">
        <v>21</v>
      </c>
      <c r="N35" s="12"/>
    </row>
    <row r="36" customFormat="false" ht="15" hidden="false" customHeight="true" outlineLevel="0" collapsed="false">
      <c r="A36" s="13" t="s">
        <v>55</v>
      </c>
      <c r="B36" s="14" t="s">
        <v>36</v>
      </c>
      <c r="C36" s="15" t="n">
        <v>774549</v>
      </c>
      <c r="D36" s="8" t="n">
        <v>1629.24</v>
      </c>
      <c r="E36" s="8" t="n">
        <v>1629240</v>
      </c>
      <c r="F36" s="9" t="n">
        <v>96.5</v>
      </c>
      <c r="G36" s="10" t="n">
        <v>194428.2</v>
      </c>
      <c r="H36" s="9" t="n">
        <v>8.608</v>
      </c>
      <c r="I36" s="10" t="n">
        <v>13573.1</v>
      </c>
      <c r="J36" s="16" t="s">
        <v>18</v>
      </c>
      <c r="K36" s="12" t="s">
        <v>19</v>
      </c>
      <c r="L36" s="12" t="s">
        <v>20</v>
      </c>
      <c r="M36" s="12" t="s">
        <v>21</v>
      </c>
      <c r="N36" s="12"/>
    </row>
    <row r="37" customFormat="false" ht="34.5" hidden="false" customHeight="true" outlineLevel="0" collapsed="false">
      <c r="A37" s="17" t="s">
        <v>56</v>
      </c>
      <c r="B37" s="17"/>
      <c r="C37" s="18" t="n">
        <f aca="false">SUM(C4:C36)</f>
        <v>34998289</v>
      </c>
      <c r="D37" s="19" t="n">
        <f aca="false">SUM(D4:D36)</f>
        <v>73618.01</v>
      </c>
      <c r="E37" s="20" t="n">
        <f aca="false">SUM(E4:E36)</f>
        <v>73618010</v>
      </c>
      <c r="F37" s="21" t="n">
        <f aca="false">SUM(F4:F36)</f>
        <v>4360.48</v>
      </c>
      <c r="G37" s="21" t="n">
        <f aca="false">SUM(G4:G36)</f>
        <v>8785494.8</v>
      </c>
      <c r="H37" s="21" t="n">
        <f aca="false">SUM(H4:H36)</f>
        <v>388.96</v>
      </c>
      <c r="I37" s="21" t="n">
        <f aca="false">SUM(I4:I36)</f>
        <v>613311.9</v>
      </c>
      <c r="J37" s="22" t="s">
        <v>57</v>
      </c>
    </row>
  </sheetData>
  <mergeCells count="3">
    <mergeCell ref="A1:N1"/>
    <mergeCell ref="A2:N2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7" min="6" style="1" width="1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1"/>
    <col collapsed="false" customWidth="true" hidden="false" outlineLevel="0" max="11" min="11" style="1" width="52"/>
    <col collapsed="false" customWidth="true" hidden="false" outlineLevel="0" max="12" min="12" style="1" width="48"/>
    <col collapsed="false" customWidth="true" hidden="false" outlineLevel="0" max="13" min="13" style="1" width="52"/>
    <col collapsed="false" customWidth="true" hidden="false" outlineLevel="0" max="14" min="14" style="1" width="50"/>
  </cols>
  <sheetData>
    <row r="1" customFormat="false" ht="27.75" hidden="false" customHeight="true" outlineLevel="0" collapsed="false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42" hidden="false" customHeight="true" outlineLevel="0" collapsed="false">
      <c r="A3" s="4" t="s">
        <v>2</v>
      </c>
      <c r="B3" s="4" t="s">
        <v>3</v>
      </c>
      <c r="C3" s="4" t="s">
        <v>60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5" hidden="false" customHeight="true" outlineLevel="0" collapsed="false">
      <c r="A4" s="23" t="s">
        <v>61</v>
      </c>
      <c r="B4" s="24" t="s">
        <v>62</v>
      </c>
      <c r="C4" s="25" t="n">
        <v>2191471</v>
      </c>
      <c r="D4" s="8" t="n">
        <v>3160.66</v>
      </c>
      <c r="E4" s="8" t="n">
        <v>3160660</v>
      </c>
      <c r="F4" s="9" t="n">
        <v>187.65</v>
      </c>
      <c r="G4" s="10" t="n">
        <v>378077.2</v>
      </c>
      <c r="H4" s="8" t="n">
        <v>8.649</v>
      </c>
      <c r="I4" s="26" t="n">
        <v>13637.7</v>
      </c>
      <c r="J4" s="27" t="s">
        <v>63</v>
      </c>
      <c r="K4" s="12" t="s">
        <v>64</v>
      </c>
      <c r="L4" s="12" t="s">
        <v>65</v>
      </c>
      <c r="M4" s="12" t="s">
        <v>66</v>
      </c>
      <c r="N4" s="12"/>
    </row>
    <row r="5" customFormat="false" ht="15" hidden="false" customHeight="true" outlineLevel="0" collapsed="false">
      <c r="A5" s="23" t="s">
        <v>67</v>
      </c>
      <c r="B5" s="24" t="s">
        <v>62</v>
      </c>
      <c r="C5" s="25" t="n">
        <v>925340</v>
      </c>
      <c r="D5" s="8" t="n">
        <v>1334.58</v>
      </c>
      <c r="E5" s="8" t="n">
        <v>1334580</v>
      </c>
      <c r="F5" s="9" t="n">
        <v>79.24</v>
      </c>
      <c r="G5" s="10" t="n">
        <v>159652.8</v>
      </c>
      <c r="H5" s="8" t="n">
        <v>3.652</v>
      </c>
      <c r="I5" s="26" t="n">
        <v>5758.5</v>
      </c>
      <c r="J5" s="27" t="s">
        <v>63</v>
      </c>
      <c r="K5" s="12" t="s">
        <v>64</v>
      </c>
      <c r="L5" s="12" t="s">
        <v>65</v>
      </c>
      <c r="M5" s="12" t="s">
        <v>66</v>
      </c>
      <c r="N5" s="12"/>
    </row>
    <row r="6" customFormat="false" ht="15" hidden="false" customHeight="true" outlineLevel="0" collapsed="false">
      <c r="A6" s="23" t="s">
        <v>68</v>
      </c>
      <c r="B6" s="24" t="s">
        <v>62</v>
      </c>
      <c r="C6" s="25" t="n">
        <v>1930811</v>
      </c>
      <c r="D6" s="8" t="n">
        <v>2784.72</v>
      </c>
      <c r="E6" s="8" t="n">
        <v>2784720</v>
      </c>
      <c r="F6" s="9" t="n">
        <v>165.33</v>
      </c>
      <c r="G6" s="10" t="n">
        <v>333106.9</v>
      </c>
      <c r="H6" s="8" t="n">
        <v>7.62</v>
      </c>
      <c r="I6" s="26" t="n">
        <v>12015.2</v>
      </c>
      <c r="J6" s="27" t="s">
        <v>63</v>
      </c>
      <c r="K6" s="12" t="s">
        <v>64</v>
      </c>
      <c r="L6" s="12" t="s">
        <v>65</v>
      </c>
      <c r="M6" s="12" t="s">
        <v>66</v>
      </c>
      <c r="N6" s="12"/>
    </row>
    <row r="7" customFormat="false" ht="15" hidden="false" customHeight="true" outlineLevel="0" collapsed="false">
      <c r="A7" s="23" t="s">
        <v>69</v>
      </c>
      <c r="B7" s="24" t="s">
        <v>62</v>
      </c>
      <c r="C7" s="25" t="n">
        <v>1959544</v>
      </c>
      <c r="D7" s="8" t="n">
        <v>2826.17</v>
      </c>
      <c r="E7" s="8" t="n">
        <v>2826170</v>
      </c>
      <c r="F7" s="9" t="n">
        <v>167.79</v>
      </c>
      <c r="G7" s="10" t="n">
        <v>338063.3</v>
      </c>
      <c r="H7" s="8" t="n">
        <v>7.734</v>
      </c>
      <c r="I7" s="26" t="n">
        <v>12195</v>
      </c>
      <c r="J7" s="27" t="s">
        <v>63</v>
      </c>
      <c r="K7" s="12" t="s">
        <v>64</v>
      </c>
      <c r="L7" s="12" t="s">
        <v>65</v>
      </c>
      <c r="M7" s="12" t="s">
        <v>66</v>
      </c>
      <c r="N7" s="12"/>
    </row>
    <row r="8" customFormat="false" ht="15" hidden="false" customHeight="true" outlineLevel="0" collapsed="false">
      <c r="A8" s="23" t="s">
        <v>70</v>
      </c>
      <c r="B8" s="24" t="s">
        <v>62</v>
      </c>
      <c r="C8" s="25" t="n">
        <v>1726998</v>
      </c>
      <c r="D8" s="8" t="n">
        <v>2490.77</v>
      </c>
      <c r="E8" s="8" t="n">
        <v>2490770</v>
      </c>
      <c r="F8" s="9" t="n">
        <v>147.88</v>
      </c>
      <c r="G8" s="10" t="n">
        <v>297948.6</v>
      </c>
      <c r="H8" s="8" t="n">
        <v>6.816</v>
      </c>
      <c r="I8" s="26" t="n">
        <v>10747.5</v>
      </c>
      <c r="J8" s="27" t="s">
        <v>63</v>
      </c>
      <c r="K8" s="12" t="s">
        <v>64</v>
      </c>
      <c r="L8" s="12" t="s">
        <v>65</v>
      </c>
      <c r="M8" s="12" t="s">
        <v>66</v>
      </c>
      <c r="N8" s="12"/>
    </row>
    <row r="9" customFormat="false" ht="15" hidden="false" customHeight="true" outlineLevel="0" collapsed="false">
      <c r="A9" s="23" t="s">
        <v>71</v>
      </c>
      <c r="B9" s="24" t="s">
        <v>62</v>
      </c>
      <c r="C9" s="25" t="n">
        <v>604031</v>
      </c>
      <c r="D9" s="8" t="n">
        <v>871.17</v>
      </c>
      <c r="E9" s="8" t="n">
        <v>871170</v>
      </c>
      <c r="F9" s="9" t="n">
        <v>51.72</v>
      </c>
      <c r="G9" s="10" t="n">
        <v>104205.5</v>
      </c>
      <c r="H9" s="8" t="n">
        <v>2.384</v>
      </c>
      <c r="I9" s="26" t="n">
        <v>3759.1</v>
      </c>
      <c r="J9" s="27" t="s">
        <v>63</v>
      </c>
      <c r="K9" s="12" t="s">
        <v>64</v>
      </c>
      <c r="L9" s="12" t="s">
        <v>65</v>
      </c>
      <c r="M9" s="12" t="s">
        <v>66</v>
      </c>
      <c r="N9" s="12"/>
    </row>
    <row r="10" customFormat="false" ht="15" hidden="false" customHeight="true" outlineLevel="0" collapsed="false">
      <c r="A10" s="23" t="s">
        <v>72</v>
      </c>
      <c r="B10" s="24" t="s">
        <v>62</v>
      </c>
      <c r="C10" s="25" t="n">
        <v>349929</v>
      </c>
      <c r="D10" s="8" t="n">
        <v>504.69</v>
      </c>
      <c r="E10" s="8" t="n">
        <v>504690</v>
      </c>
      <c r="F10" s="9" t="n">
        <v>29.96</v>
      </c>
      <c r="G10" s="10" t="n">
        <v>60363.4</v>
      </c>
      <c r="H10" s="8" t="n">
        <v>1.381</v>
      </c>
      <c r="I10" s="26" t="n">
        <v>2177.6</v>
      </c>
      <c r="J10" s="27" t="s">
        <v>63</v>
      </c>
      <c r="K10" s="12" t="s">
        <v>64</v>
      </c>
      <c r="L10" s="12" t="s">
        <v>65</v>
      </c>
      <c r="M10" s="12" t="s">
        <v>66</v>
      </c>
      <c r="N10" s="12"/>
    </row>
    <row r="11" customFormat="false" ht="15" hidden="false" customHeight="true" outlineLevel="0" collapsed="false">
      <c r="A11" s="23" t="s">
        <v>73</v>
      </c>
      <c r="B11" s="24" t="s">
        <v>62</v>
      </c>
      <c r="C11" s="25" t="n">
        <v>2092374</v>
      </c>
      <c r="D11" s="8" t="n">
        <v>3017.74</v>
      </c>
      <c r="E11" s="8" t="n">
        <v>3017740</v>
      </c>
      <c r="F11" s="9" t="n">
        <v>179.17</v>
      </c>
      <c r="G11" s="10" t="n">
        <v>360991.7</v>
      </c>
      <c r="H11" s="8" t="n">
        <v>8.258</v>
      </c>
      <c r="I11" s="26" t="n">
        <v>13021.2</v>
      </c>
      <c r="J11" s="27" t="s">
        <v>63</v>
      </c>
      <c r="K11" s="12" t="s">
        <v>64</v>
      </c>
      <c r="L11" s="12" t="s">
        <v>65</v>
      </c>
      <c r="M11" s="12" t="s">
        <v>66</v>
      </c>
      <c r="N11" s="12"/>
    </row>
    <row r="12" customFormat="false" ht="15" hidden="false" customHeight="true" outlineLevel="0" collapsed="false">
      <c r="A12" s="23" t="s">
        <v>74</v>
      </c>
      <c r="B12" s="24" t="s">
        <v>62</v>
      </c>
      <c r="C12" s="25" t="n">
        <v>1832332</v>
      </c>
      <c r="D12" s="8" t="n">
        <v>2642.69</v>
      </c>
      <c r="E12" s="8" t="n">
        <v>2642690</v>
      </c>
      <c r="F12" s="9" t="n">
        <v>156.9</v>
      </c>
      <c r="G12" s="10" t="n">
        <v>316122.1</v>
      </c>
      <c r="H12" s="8" t="n">
        <v>7.232</v>
      </c>
      <c r="I12" s="26" t="n">
        <v>11403.4</v>
      </c>
      <c r="J12" s="27" t="s">
        <v>63</v>
      </c>
      <c r="K12" s="12" t="s">
        <v>64</v>
      </c>
      <c r="L12" s="12" t="s">
        <v>65</v>
      </c>
      <c r="M12" s="12" t="s">
        <v>66</v>
      </c>
      <c r="N12" s="12"/>
    </row>
    <row r="13" customFormat="false" ht="15" hidden="false" customHeight="true" outlineLevel="0" collapsed="false">
      <c r="A13" s="23" t="s">
        <v>75</v>
      </c>
      <c r="B13" s="24" t="s">
        <v>62</v>
      </c>
      <c r="C13" s="25" t="n">
        <v>1719093</v>
      </c>
      <c r="D13" s="8" t="n">
        <v>2479.37</v>
      </c>
      <c r="E13" s="8" t="n">
        <v>2479370</v>
      </c>
      <c r="F13" s="9" t="n">
        <v>147.2</v>
      </c>
      <c r="G13" s="10" t="n">
        <v>296578.6</v>
      </c>
      <c r="H13" s="8" t="n">
        <v>6.785</v>
      </c>
      <c r="I13" s="26" t="n">
        <v>10698.6</v>
      </c>
      <c r="J13" s="27" t="s">
        <v>63</v>
      </c>
      <c r="K13" s="12" t="s">
        <v>64</v>
      </c>
      <c r="L13" s="12" t="s">
        <v>65</v>
      </c>
      <c r="M13" s="12" t="s">
        <v>66</v>
      </c>
      <c r="N13" s="12"/>
    </row>
    <row r="14" customFormat="false" ht="15" hidden="false" customHeight="true" outlineLevel="0" collapsed="false">
      <c r="A14" s="23" t="s">
        <v>76</v>
      </c>
      <c r="B14" s="24" t="s">
        <v>62</v>
      </c>
      <c r="C14" s="25" t="n">
        <v>2006737</v>
      </c>
      <c r="D14" s="8" t="n">
        <v>2894.23</v>
      </c>
      <c r="E14" s="8" t="n">
        <v>2894230</v>
      </c>
      <c r="F14" s="9" t="n">
        <v>171.84</v>
      </c>
      <c r="G14" s="10" t="n">
        <v>346223.2</v>
      </c>
      <c r="H14" s="8" t="n">
        <v>7.92</v>
      </c>
      <c r="I14" s="26" t="n">
        <v>12488.3</v>
      </c>
      <c r="J14" s="27" t="s">
        <v>63</v>
      </c>
      <c r="K14" s="12" t="s">
        <v>64</v>
      </c>
      <c r="L14" s="12" t="s">
        <v>65</v>
      </c>
      <c r="M14" s="12" t="s">
        <v>66</v>
      </c>
      <c r="N14" s="12"/>
    </row>
    <row r="15" customFormat="false" ht="15" hidden="false" customHeight="true" outlineLevel="0" collapsed="false">
      <c r="A15" s="23" t="s">
        <v>77</v>
      </c>
      <c r="B15" s="24" t="s">
        <v>62</v>
      </c>
      <c r="C15" s="25" t="n">
        <v>1844898</v>
      </c>
      <c r="D15" s="8" t="n">
        <v>2660.82</v>
      </c>
      <c r="E15" s="8" t="n">
        <v>2660820</v>
      </c>
      <c r="F15" s="9" t="n">
        <v>157.98</v>
      </c>
      <c r="G15" s="10" t="n">
        <v>318298.1</v>
      </c>
      <c r="H15" s="8" t="n">
        <v>7.281</v>
      </c>
      <c r="I15" s="26" t="n">
        <v>11480.7</v>
      </c>
      <c r="J15" s="27" t="s">
        <v>63</v>
      </c>
      <c r="K15" s="12" t="s">
        <v>64</v>
      </c>
      <c r="L15" s="12" t="s">
        <v>65</v>
      </c>
      <c r="M15" s="12" t="s">
        <v>66</v>
      </c>
      <c r="N15" s="12"/>
    </row>
    <row r="16" customFormat="false" ht="15" hidden="false" customHeight="true" outlineLevel="0" collapsed="false">
      <c r="A16" s="28" t="s">
        <v>78</v>
      </c>
      <c r="B16" s="29" t="s">
        <v>79</v>
      </c>
      <c r="C16" s="30" t="n">
        <v>2218591</v>
      </c>
      <c r="D16" s="8" t="n">
        <v>3199.78</v>
      </c>
      <c r="E16" s="8" t="n">
        <v>3199780</v>
      </c>
      <c r="F16" s="9" t="n">
        <v>189.98</v>
      </c>
      <c r="G16" s="10" t="n">
        <v>382771.7</v>
      </c>
      <c r="H16" s="8" t="n">
        <v>8.756</v>
      </c>
      <c r="I16" s="26" t="n">
        <v>13806.5</v>
      </c>
      <c r="J16" s="31" t="s">
        <v>63</v>
      </c>
      <c r="K16" s="12" t="s">
        <v>64</v>
      </c>
      <c r="L16" s="12" t="s">
        <v>65</v>
      </c>
      <c r="M16" s="12" t="s">
        <v>66</v>
      </c>
      <c r="N16" s="12"/>
    </row>
    <row r="17" customFormat="false" ht="15" hidden="false" customHeight="true" outlineLevel="0" collapsed="false">
      <c r="A17" s="28" t="s">
        <v>80</v>
      </c>
      <c r="B17" s="29" t="s">
        <v>79</v>
      </c>
      <c r="C17" s="30" t="n">
        <v>1735079</v>
      </c>
      <c r="D17" s="8" t="n">
        <v>2502.43</v>
      </c>
      <c r="E17" s="8" t="n">
        <v>2502430</v>
      </c>
      <c r="F17" s="9" t="n">
        <v>148.57</v>
      </c>
      <c r="G17" s="10" t="n">
        <v>299338.8</v>
      </c>
      <c r="H17" s="8" t="n">
        <v>6.848</v>
      </c>
      <c r="I17" s="26" t="n">
        <v>10797.9</v>
      </c>
      <c r="J17" s="31" t="s">
        <v>63</v>
      </c>
      <c r="K17" s="12" t="s">
        <v>64</v>
      </c>
      <c r="L17" s="12" t="s">
        <v>65</v>
      </c>
      <c r="M17" s="12" t="s">
        <v>66</v>
      </c>
      <c r="N17" s="12"/>
    </row>
    <row r="18" customFormat="false" ht="15" hidden="false" customHeight="true" outlineLevel="0" collapsed="false">
      <c r="A18" s="28" t="s">
        <v>81</v>
      </c>
      <c r="B18" s="29" t="s">
        <v>79</v>
      </c>
      <c r="C18" s="30" t="n">
        <v>2091075</v>
      </c>
      <c r="D18" s="8" t="n">
        <v>3015.87</v>
      </c>
      <c r="E18" s="8" t="n">
        <v>3015870</v>
      </c>
      <c r="F18" s="9" t="n">
        <v>179.06</v>
      </c>
      <c r="G18" s="10" t="n">
        <v>360770.1</v>
      </c>
      <c r="H18" s="8" t="n">
        <v>8.253</v>
      </c>
      <c r="I18" s="26" t="n">
        <v>13013.3</v>
      </c>
      <c r="J18" s="31" t="s">
        <v>63</v>
      </c>
      <c r="K18" s="12" t="s">
        <v>64</v>
      </c>
      <c r="L18" s="12" t="s">
        <v>65</v>
      </c>
      <c r="M18" s="12" t="s">
        <v>66</v>
      </c>
      <c r="N18" s="12"/>
    </row>
    <row r="19" customFormat="false" ht="15" hidden="false" customHeight="true" outlineLevel="0" collapsed="false">
      <c r="A19" s="28" t="s">
        <v>82</v>
      </c>
      <c r="B19" s="29" t="s">
        <v>79</v>
      </c>
      <c r="C19" s="30" t="n">
        <v>1586918</v>
      </c>
      <c r="D19" s="8" t="n">
        <v>2288.74</v>
      </c>
      <c r="E19" s="8" t="n">
        <v>2288740</v>
      </c>
      <c r="F19" s="9" t="n">
        <v>135.89</v>
      </c>
      <c r="G19" s="10" t="n">
        <v>273791.2</v>
      </c>
      <c r="H19" s="8" t="n">
        <v>6.263</v>
      </c>
      <c r="I19" s="26" t="n">
        <v>9875.5</v>
      </c>
      <c r="J19" s="31" t="s">
        <v>63</v>
      </c>
      <c r="K19" s="12" t="s">
        <v>64</v>
      </c>
      <c r="L19" s="12" t="s">
        <v>65</v>
      </c>
      <c r="M19" s="12" t="s">
        <v>66</v>
      </c>
      <c r="N19" s="12"/>
    </row>
    <row r="20" customFormat="false" ht="15" hidden="false" customHeight="true" outlineLevel="0" collapsed="false">
      <c r="A20" s="28" t="s">
        <v>83</v>
      </c>
      <c r="B20" s="29" t="s">
        <v>79</v>
      </c>
      <c r="C20" s="30" t="n">
        <v>2041723</v>
      </c>
      <c r="D20" s="8" t="n">
        <v>2944.69</v>
      </c>
      <c r="E20" s="8" t="n">
        <v>2944690</v>
      </c>
      <c r="F20" s="9" t="n">
        <v>174.83</v>
      </c>
      <c r="G20" s="10" t="n">
        <v>352247.5</v>
      </c>
      <c r="H20" s="8" t="n">
        <v>8.058</v>
      </c>
      <c r="I20" s="26" t="n">
        <v>12705.9</v>
      </c>
      <c r="J20" s="31" t="s">
        <v>63</v>
      </c>
      <c r="K20" s="12" t="s">
        <v>64</v>
      </c>
      <c r="L20" s="12" t="s">
        <v>65</v>
      </c>
      <c r="M20" s="12" t="s">
        <v>66</v>
      </c>
      <c r="N20" s="12"/>
    </row>
    <row r="21" customFormat="false" ht="15" hidden="false" customHeight="true" outlineLevel="0" collapsed="false">
      <c r="A21" s="28" t="s">
        <v>84</v>
      </c>
      <c r="B21" s="29" t="s">
        <v>79</v>
      </c>
      <c r="C21" s="30" t="n">
        <v>1767633</v>
      </c>
      <c r="D21" s="8" t="n">
        <v>2549.38</v>
      </c>
      <c r="E21" s="8" t="n">
        <v>2549380</v>
      </c>
      <c r="F21" s="9" t="n">
        <v>151.36</v>
      </c>
      <c r="G21" s="10" t="n">
        <v>304960.1</v>
      </c>
      <c r="H21" s="8" t="n">
        <v>6.976</v>
      </c>
      <c r="I21" s="26" t="n">
        <v>10999.8</v>
      </c>
      <c r="J21" s="31" t="s">
        <v>63</v>
      </c>
      <c r="K21" s="12" t="s">
        <v>64</v>
      </c>
      <c r="L21" s="12" t="s">
        <v>65</v>
      </c>
      <c r="M21" s="12" t="s">
        <v>66</v>
      </c>
      <c r="N21" s="12"/>
    </row>
    <row r="22" customFormat="false" ht="15" hidden="false" customHeight="true" outlineLevel="0" collapsed="false">
      <c r="A22" s="28" t="s">
        <v>85</v>
      </c>
      <c r="B22" s="29" t="s">
        <v>79</v>
      </c>
      <c r="C22" s="30" t="n">
        <v>1142313</v>
      </c>
      <c r="D22" s="8" t="n">
        <v>1647.51</v>
      </c>
      <c r="E22" s="8" t="n">
        <v>1647510</v>
      </c>
      <c r="F22" s="9" t="n">
        <v>97.82</v>
      </c>
      <c r="G22" s="10" t="n">
        <v>197087.7</v>
      </c>
      <c r="H22" s="8" t="n">
        <v>4.508</v>
      </c>
      <c r="I22" s="26" t="n">
        <v>7108.2</v>
      </c>
      <c r="J22" s="31" t="s">
        <v>63</v>
      </c>
      <c r="K22" s="12" t="s">
        <v>64</v>
      </c>
      <c r="L22" s="12" t="s">
        <v>65</v>
      </c>
      <c r="M22" s="12" t="s">
        <v>66</v>
      </c>
      <c r="N22" s="12"/>
    </row>
    <row r="23" customFormat="false" ht="15" hidden="false" customHeight="true" outlineLevel="0" collapsed="false">
      <c r="A23" s="32" t="s">
        <v>86</v>
      </c>
      <c r="B23" s="33" t="s">
        <v>87</v>
      </c>
      <c r="C23" s="34" t="n">
        <v>2469712</v>
      </c>
      <c r="D23" s="8" t="n">
        <v>3561.96</v>
      </c>
      <c r="E23" s="8" t="n">
        <v>3561960</v>
      </c>
      <c r="F23" s="9" t="n">
        <v>211.48</v>
      </c>
      <c r="G23" s="10" t="n">
        <v>426089.9</v>
      </c>
      <c r="H23" s="8" t="n">
        <v>9.747</v>
      </c>
      <c r="I23" s="26" t="n">
        <v>15369.1</v>
      </c>
      <c r="J23" s="35" t="s">
        <v>63</v>
      </c>
      <c r="K23" s="12" t="s">
        <v>64</v>
      </c>
      <c r="L23" s="12" t="s">
        <v>65</v>
      </c>
      <c r="M23" s="12" t="s">
        <v>66</v>
      </c>
      <c r="N23" s="12"/>
    </row>
    <row r="24" customFormat="false" ht="15" hidden="false" customHeight="true" outlineLevel="0" collapsed="false">
      <c r="A24" s="32" t="s">
        <v>88</v>
      </c>
      <c r="B24" s="33" t="s">
        <v>87</v>
      </c>
      <c r="C24" s="34" t="n">
        <v>2271686</v>
      </c>
      <c r="D24" s="8" t="n">
        <v>3276.35</v>
      </c>
      <c r="E24" s="8" t="n">
        <v>3276350</v>
      </c>
      <c r="F24" s="9" t="n">
        <v>194.52</v>
      </c>
      <c r="G24" s="10" t="n">
        <v>391918.9</v>
      </c>
      <c r="H24" s="8" t="n">
        <v>8.966</v>
      </c>
      <c r="I24" s="26" t="n">
        <v>14137.6</v>
      </c>
      <c r="J24" s="35" t="s">
        <v>63</v>
      </c>
      <c r="K24" s="12" t="s">
        <v>64</v>
      </c>
      <c r="L24" s="12" t="s">
        <v>65</v>
      </c>
      <c r="M24" s="12" t="s">
        <v>66</v>
      </c>
      <c r="N24" s="12" t="s">
        <v>89</v>
      </c>
    </row>
    <row r="25" customFormat="false" ht="15" hidden="false" customHeight="true" outlineLevel="0" collapsed="false">
      <c r="A25" s="32" t="s">
        <v>90</v>
      </c>
      <c r="B25" s="33" t="s">
        <v>87</v>
      </c>
      <c r="C25" s="34" t="n">
        <v>1781777</v>
      </c>
      <c r="D25" s="8" t="n">
        <v>2569.78</v>
      </c>
      <c r="E25" s="8" t="n">
        <v>2569780</v>
      </c>
      <c r="F25" s="9" t="n">
        <v>152.57</v>
      </c>
      <c r="G25" s="10" t="n">
        <v>307398</v>
      </c>
      <c r="H25" s="8" t="n">
        <v>7.032</v>
      </c>
      <c r="I25" s="26" t="n">
        <v>11088.1</v>
      </c>
      <c r="J25" s="35" t="s">
        <v>63</v>
      </c>
      <c r="K25" s="12" t="s">
        <v>64</v>
      </c>
      <c r="L25" s="12" t="s">
        <v>65</v>
      </c>
      <c r="M25" s="12" t="s">
        <v>66</v>
      </c>
      <c r="N25" s="12" t="s">
        <v>89</v>
      </c>
    </row>
    <row r="26" customFormat="false" ht="15" hidden="false" customHeight="true" outlineLevel="0" collapsed="false">
      <c r="A26" s="32" t="s">
        <v>91</v>
      </c>
      <c r="B26" s="33" t="s">
        <v>87</v>
      </c>
      <c r="C26" s="34" t="n">
        <v>2241105</v>
      </c>
      <c r="D26" s="8" t="n">
        <v>3232.25</v>
      </c>
      <c r="E26" s="8" t="n">
        <v>3232250</v>
      </c>
      <c r="F26" s="9" t="n">
        <v>191.9</v>
      </c>
      <c r="G26" s="10" t="n">
        <v>386640.1</v>
      </c>
      <c r="H26" s="8" t="n">
        <v>8.845</v>
      </c>
      <c r="I26" s="26" t="n">
        <v>13946.8</v>
      </c>
      <c r="J26" s="35" t="s">
        <v>63</v>
      </c>
      <c r="K26" s="12" t="s">
        <v>64</v>
      </c>
      <c r="L26" s="12" t="s">
        <v>65</v>
      </c>
      <c r="M26" s="12" t="s">
        <v>66</v>
      </c>
      <c r="N26" s="12" t="s">
        <v>92</v>
      </c>
    </row>
    <row r="27" customFormat="false" ht="15" hidden="false" customHeight="true" outlineLevel="0" collapsed="false">
      <c r="A27" s="32" t="s">
        <v>93</v>
      </c>
      <c r="B27" s="33" t="s">
        <v>87</v>
      </c>
      <c r="C27" s="34" t="n">
        <v>1840043</v>
      </c>
      <c r="D27" s="8" t="n">
        <v>2653.81</v>
      </c>
      <c r="E27" s="8" t="n">
        <v>2653810</v>
      </c>
      <c r="F27" s="9" t="n">
        <v>157.56</v>
      </c>
      <c r="G27" s="10" t="n">
        <v>317451.9</v>
      </c>
      <c r="H27" s="8" t="n">
        <v>7.262</v>
      </c>
      <c r="I27" s="26" t="n">
        <v>11450.7</v>
      </c>
      <c r="J27" s="35" t="s">
        <v>63</v>
      </c>
      <c r="K27" s="12" t="s">
        <v>64</v>
      </c>
      <c r="L27" s="12" t="s">
        <v>65</v>
      </c>
      <c r="M27" s="12" t="s">
        <v>66</v>
      </c>
      <c r="N27" s="12" t="s">
        <v>92</v>
      </c>
    </row>
    <row r="28" customFormat="false" ht="15" hidden="false" customHeight="true" outlineLevel="0" collapsed="false">
      <c r="A28" s="32" t="s">
        <v>94</v>
      </c>
      <c r="B28" s="33" t="s">
        <v>87</v>
      </c>
      <c r="C28" s="34" t="n">
        <v>2060654</v>
      </c>
      <c r="D28" s="8" t="n">
        <v>2971.99</v>
      </c>
      <c r="E28" s="8" t="n">
        <v>2971990</v>
      </c>
      <c r="F28" s="9" t="n">
        <v>176.45</v>
      </c>
      <c r="G28" s="10" t="n">
        <v>355511.5</v>
      </c>
      <c r="H28" s="8" t="n">
        <v>8.133</v>
      </c>
      <c r="I28" s="26" t="n">
        <v>12824.1</v>
      </c>
      <c r="J28" s="35" t="s">
        <v>63</v>
      </c>
      <c r="K28" s="12" t="s">
        <v>64</v>
      </c>
      <c r="L28" s="12" t="s">
        <v>65</v>
      </c>
      <c r="M28" s="12" t="s">
        <v>66</v>
      </c>
      <c r="N28" s="12" t="s">
        <v>95</v>
      </c>
    </row>
    <row r="29" customFormat="false" ht="15" hidden="false" customHeight="true" outlineLevel="0" collapsed="false">
      <c r="A29" s="32" t="s">
        <v>96</v>
      </c>
      <c r="B29" s="33" t="s">
        <v>87</v>
      </c>
      <c r="C29" s="34" t="n">
        <v>1697308</v>
      </c>
      <c r="D29" s="8" t="n">
        <v>2447.95</v>
      </c>
      <c r="E29" s="8" t="n">
        <v>2447950</v>
      </c>
      <c r="F29" s="9" t="n">
        <v>145.34</v>
      </c>
      <c r="G29" s="10" t="n">
        <v>292831</v>
      </c>
      <c r="H29" s="8" t="n">
        <v>6.699</v>
      </c>
      <c r="I29" s="26" t="n">
        <v>10563</v>
      </c>
      <c r="J29" s="35" t="s">
        <v>63</v>
      </c>
      <c r="K29" s="12" t="s">
        <v>64</v>
      </c>
      <c r="L29" s="12" t="s">
        <v>65</v>
      </c>
      <c r="M29" s="12" t="s">
        <v>66</v>
      </c>
      <c r="N29" s="12"/>
    </row>
    <row r="30" customFormat="false" ht="15" hidden="false" customHeight="true" outlineLevel="0" collapsed="false">
      <c r="A30" s="32" t="s">
        <v>97</v>
      </c>
      <c r="B30" s="33" t="s">
        <v>87</v>
      </c>
      <c r="C30" s="34" t="n">
        <v>2196984</v>
      </c>
      <c r="D30" s="8" t="n">
        <v>3168.61</v>
      </c>
      <c r="E30" s="8" t="n">
        <v>3168610</v>
      </c>
      <c r="F30" s="9" t="n">
        <v>188.13</v>
      </c>
      <c r="G30" s="10" t="n">
        <v>379044.3</v>
      </c>
      <c r="H30" s="8" t="n">
        <v>8.671</v>
      </c>
      <c r="I30" s="26" t="n">
        <v>13672.4</v>
      </c>
      <c r="J30" s="35" t="s">
        <v>63</v>
      </c>
      <c r="K30" s="12" t="s">
        <v>64</v>
      </c>
      <c r="L30" s="12" t="s">
        <v>65</v>
      </c>
      <c r="M30" s="12" t="s">
        <v>66</v>
      </c>
      <c r="N30" s="12"/>
    </row>
    <row r="31" customFormat="false" ht="15" hidden="false" customHeight="true" outlineLevel="0" collapsed="false">
      <c r="A31" s="32" t="s">
        <v>98</v>
      </c>
      <c r="B31" s="33" t="s">
        <v>87</v>
      </c>
      <c r="C31" s="34" t="n">
        <v>1872951</v>
      </c>
      <c r="D31" s="8" t="n">
        <v>2701.28</v>
      </c>
      <c r="E31" s="8" t="n">
        <v>2701280</v>
      </c>
      <c r="F31" s="9" t="n">
        <v>160.38</v>
      </c>
      <c r="G31" s="10" t="n">
        <v>323133.6</v>
      </c>
      <c r="H31" s="8" t="n">
        <v>7.392</v>
      </c>
      <c r="I31" s="26" t="n">
        <v>11655.7</v>
      </c>
      <c r="J31" s="35" t="s">
        <v>63</v>
      </c>
      <c r="K31" s="12" t="s">
        <v>64</v>
      </c>
      <c r="L31" s="12" t="s">
        <v>65</v>
      </c>
      <c r="M31" s="12" t="s">
        <v>66</v>
      </c>
      <c r="N31" s="12"/>
    </row>
    <row r="32" customFormat="false" ht="34.5" hidden="false" customHeight="true" outlineLevel="0" collapsed="false">
      <c r="A32" s="17" t="s">
        <v>99</v>
      </c>
      <c r="B32" s="17"/>
      <c r="C32" s="18" t="n">
        <f aca="false">SUM(C4:C31)</f>
        <v>50199110</v>
      </c>
      <c r="D32" s="19" t="n">
        <f aca="false">SUM(D4:D31)</f>
        <v>72399.99</v>
      </c>
      <c r="E32" s="20" t="n">
        <f aca="false">SUM(E4:E31)</f>
        <v>72399990</v>
      </c>
      <c r="F32" s="21" t="n">
        <f aca="false">SUM(F4:F31)</f>
        <v>4298.5</v>
      </c>
      <c r="G32" s="21" t="n">
        <f aca="false">SUM(G4:G31)</f>
        <v>8660617.7</v>
      </c>
      <c r="H32" s="36" t="n">
        <f aca="false">SUM(H4:H31)</f>
        <v>198.121</v>
      </c>
      <c r="I32" s="20" t="n">
        <f aca="false">SUM(I4:I31)</f>
        <v>312397.4</v>
      </c>
      <c r="J32" s="22" t="s">
        <v>100</v>
      </c>
    </row>
  </sheetData>
  <mergeCells count="3">
    <mergeCell ref="A1:N1"/>
    <mergeCell ref="A2:N2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38"/>
    <col collapsed="false" customWidth="true" hidden="false" outlineLevel="0" max="5" min="5" style="1" width="72"/>
    <col collapsed="false" customWidth="true" hidden="false" outlineLevel="0" max="6" min="6" style="1" width="38"/>
  </cols>
  <sheetData>
    <row r="1" customFormat="false" ht="27.75" hidden="false" customHeight="true" outlineLevel="0" collapsed="false">
      <c r="A1" s="37" t="s">
        <v>101</v>
      </c>
      <c r="B1" s="37"/>
      <c r="C1" s="37"/>
      <c r="D1" s="37"/>
      <c r="E1" s="37"/>
      <c r="F1" s="37"/>
    </row>
    <row r="2" customFormat="false" ht="19.5" hidden="false" customHeight="true" outlineLevel="0" collapsed="false">
      <c r="A2" s="4" t="s">
        <v>102</v>
      </c>
      <c r="B2" s="4" t="s">
        <v>103</v>
      </c>
      <c r="C2" s="4" t="s">
        <v>104</v>
      </c>
      <c r="D2" s="4" t="s">
        <v>105</v>
      </c>
      <c r="E2" s="4" t="s">
        <v>106</v>
      </c>
      <c r="F2" s="4" t="s">
        <v>107</v>
      </c>
    </row>
    <row r="3" customFormat="false" ht="72" hidden="false" customHeight="true" outlineLevel="0" collapsed="false">
      <c r="A3" s="38" t="s">
        <v>108</v>
      </c>
      <c r="B3" s="39" t="s">
        <v>109</v>
      </c>
      <c r="C3" s="39" t="s">
        <v>110</v>
      </c>
      <c r="D3" s="39" t="s">
        <v>111</v>
      </c>
      <c r="E3" s="39" t="s">
        <v>112</v>
      </c>
      <c r="F3" s="39" t="s">
        <v>113</v>
      </c>
    </row>
    <row r="4" customFormat="false" ht="72" hidden="false" customHeight="true" outlineLevel="0" collapsed="false">
      <c r="A4" s="38" t="s">
        <v>114</v>
      </c>
      <c r="B4" s="39" t="s">
        <v>109</v>
      </c>
      <c r="C4" s="39" t="s">
        <v>115</v>
      </c>
      <c r="D4" s="39" t="s">
        <v>116</v>
      </c>
      <c r="E4" s="39" t="s">
        <v>117</v>
      </c>
      <c r="F4" s="39" t="s">
        <v>113</v>
      </c>
    </row>
    <row r="5" customFormat="false" ht="72" hidden="false" customHeight="true" outlineLevel="0" collapsed="false">
      <c r="A5" s="38" t="s">
        <v>118</v>
      </c>
      <c r="B5" s="39" t="s">
        <v>109</v>
      </c>
      <c r="C5" s="39" t="s">
        <v>119</v>
      </c>
      <c r="D5" s="39" t="s">
        <v>120</v>
      </c>
      <c r="E5" s="39" t="s">
        <v>121</v>
      </c>
      <c r="F5" s="39" t="s">
        <v>122</v>
      </c>
    </row>
    <row r="6" customFormat="false" ht="72" hidden="false" customHeight="true" outlineLevel="0" collapsed="false">
      <c r="A6" s="40" t="s">
        <v>123</v>
      </c>
      <c r="B6" s="41" t="s">
        <v>124</v>
      </c>
      <c r="C6" s="41" t="s">
        <v>125</v>
      </c>
      <c r="D6" s="41" t="s">
        <v>126</v>
      </c>
      <c r="E6" s="41" t="s">
        <v>127</v>
      </c>
      <c r="F6" s="41" t="s">
        <v>128</v>
      </c>
    </row>
    <row r="7" customFormat="false" ht="72" hidden="false" customHeight="true" outlineLevel="0" collapsed="false">
      <c r="A7" s="40" t="s">
        <v>129</v>
      </c>
      <c r="B7" s="41" t="s">
        <v>124</v>
      </c>
      <c r="C7" s="41" t="s">
        <v>130</v>
      </c>
      <c r="D7" s="41" t="s">
        <v>131</v>
      </c>
      <c r="E7" s="41" t="s">
        <v>132</v>
      </c>
      <c r="F7" s="41" t="s">
        <v>128</v>
      </c>
    </row>
    <row r="8" customFormat="false" ht="72" hidden="false" customHeight="true" outlineLevel="0" collapsed="false">
      <c r="A8" s="40" t="s">
        <v>133</v>
      </c>
      <c r="B8" s="41" t="s">
        <v>124</v>
      </c>
      <c r="C8" s="41" t="s">
        <v>134</v>
      </c>
      <c r="D8" s="41" t="s">
        <v>135</v>
      </c>
      <c r="E8" s="41" t="s">
        <v>136</v>
      </c>
      <c r="F8" s="41" t="s">
        <v>128</v>
      </c>
    </row>
    <row r="9" customFormat="false" ht="72" hidden="false" customHeight="true" outlineLevel="0" collapsed="false">
      <c r="A9" s="42" t="s">
        <v>137</v>
      </c>
      <c r="B9" s="43" t="s">
        <v>138</v>
      </c>
      <c r="C9" s="43" t="s">
        <v>139</v>
      </c>
      <c r="D9" s="43" t="s">
        <v>140</v>
      </c>
      <c r="E9" s="43" t="s">
        <v>141</v>
      </c>
      <c r="F9" s="43" t="s">
        <v>142</v>
      </c>
    </row>
    <row r="10" customFormat="false" ht="72" hidden="false" customHeight="true" outlineLevel="0" collapsed="false">
      <c r="A10" s="42" t="s">
        <v>143</v>
      </c>
      <c r="B10" s="43" t="s">
        <v>144</v>
      </c>
      <c r="C10" s="43" t="s">
        <v>145</v>
      </c>
      <c r="D10" s="43" t="s">
        <v>140</v>
      </c>
      <c r="E10" s="43" t="s">
        <v>146</v>
      </c>
      <c r="F10" s="43" t="s">
        <v>147</v>
      </c>
    </row>
    <row r="11" customFormat="false" ht="72" hidden="false" customHeight="true" outlineLevel="0" collapsed="false">
      <c r="A11" s="38" t="s">
        <v>148</v>
      </c>
      <c r="B11" s="39" t="s">
        <v>149</v>
      </c>
      <c r="C11" s="39" t="s">
        <v>150</v>
      </c>
      <c r="D11" s="39" t="s">
        <v>151</v>
      </c>
      <c r="E11" s="39" t="s">
        <v>152</v>
      </c>
      <c r="F11" s="39" t="s">
        <v>153</v>
      </c>
    </row>
    <row r="12" customFormat="false" ht="72" hidden="false" customHeight="true" outlineLevel="0" collapsed="false">
      <c r="A12" s="42" t="s">
        <v>154</v>
      </c>
      <c r="B12" s="43" t="s">
        <v>138</v>
      </c>
      <c r="C12" s="43" t="s">
        <v>155</v>
      </c>
      <c r="D12" s="43" t="s">
        <v>120</v>
      </c>
      <c r="E12" s="43" t="s">
        <v>156</v>
      </c>
      <c r="F12" s="43" t="s">
        <v>153</v>
      </c>
    </row>
    <row r="13" customFormat="false" ht="72" hidden="false" customHeight="true" outlineLevel="0" collapsed="false">
      <c r="A13" s="44" t="s">
        <v>157</v>
      </c>
      <c r="B13" s="45" t="s">
        <v>158</v>
      </c>
      <c r="C13" s="45" t="s">
        <v>159</v>
      </c>
      <c r="D13" s="45" t="s">
        <v>160</v>
      </c>
      <c r="E13" s="45" t="s">
        <v>161</v>
      </c>
      <c r="F13" s="45" t="s">
        <v>162</v>
      </c>
    </row>
    <row r="14" customFormat="false" ht="15" hidden="false" customHeight="true" outlineLevel="0" collapsed="false">
      <c r="A14" s="46" t="s">
        <v>123</v>
      </c>
      <c r="B14" s="46" t="s">
        <v>163</v>
      </c>
      <c r="C14" s="46" t="s">
        <v>164</v>
      </c>
      <c r="D14" s="46" t="s">
        <v>165</v>
      </c>
      <c r="E14" s="46" t="s">
        <v>166</v>
      </c>
      <c r="F14" s="46" t="s">
        <v>167</v>
      </c>
    </row>
    <row r="15" customFormat="false" ht="15" hidden="false" customHeight="true" outlineLevel="0" collapsed="false">
      <c r="A15" s="46" t="s">
        <v>133</v>
      </c>
      <c r="B15" s="46" t="s">
        <v>163</v>
      </c>
      <c r="C15" s="46" t="s">
        <v>168</v>
      </c>
      <c r="D15" s="46" t="s">
        <v>169</v>
      </c>
      <c r="E15" s="46" t="s">
        <v>170</v>
      </c>
      <c r="F15" s="46" t="s">
        <v>171</v>
      </c>
    </row>
    <row r="16" customFormat="false" ht="15" hidden="false" customHeight="true" outlineLevel="0" collapsed="false">
      <c r="A16" s="46" t="s">
        <v>129</v>
      </c>
      <c r="B16" s="46" t="s">
        <v>172</v>
      </c>
      <c r="C16" s="46" t="s">
        <v>173</v>
      </c>
      <c r="D16" s="46" t="s">
        <v>174</v>
      </c>
      <c r="E16" s="46" t="s">
        <v>175</v>
      </c>
      <c r="F16" s="46" t="s">
        <v>176</v>
      </c>
    </row>
    <row r="17" customFormat="false" ht="15" hidden="false" customHeight="false" outlineLevel="0" collapsed="false">
      <c r="A17" s="47" t="s">
        <v>177</v>
      </c>
      <c r="B17" s="47" t="s">
        <v>178</v>
      </c>
      <c r="C17" s="47" t="s">
        <v>179</v>
      </c>
      <c r="D17" s="47" t="s">
        <v>180</v>
      </c>
      <c r="E17" s="47" t="s">
        <v>181</v>
      </c>
      <c r="F17" s="47" t="s">
        <v>182</v>
      </c>
    </row>
    <row r="18" customFormat="false" ht="15" hidden="false" customHeight="false" outlineLevel="0" collapsed="false">
      <c r="A18" s="47" t="s">
        <v>183</v>
      </c>
      <c r="B18" s="47" t="s">
        <v>178</v>
      </c>
      <c r="C18" s="47" t="s">
        <v>184</v>
      </c>
      <c r="D18" s="47" t="s">
        <v>185</v>
      </c>
      <c r="E18" s="47" t="s">
        <v>175</v>
      </c>
      <c r="F18" s="47" t="s">
        <v>186</v>
      </c>
    </row>
    <row r="19" customFormat="false" ht="15" hidden="false" customHeight="false" outlineLevel="0" collapsed="false">
      <c r="A19" s="47" t="s">
        <v>187</v>
      </c>
      <c r="B19" s="47" t="s">
        <v>188</v>
      </c>
      <c r="C19" s="47" t="s">
        <v>189</v>
      </c>
      <c r="D19" s="47" t="s">
        <v>190</v>
      </c>
      <c r="E19" s="47" t="s">
        <v>191</v>
      </c>
      <c r="F19" s="47" t="s">
        <v>192</v>
      </c>
    </row>
    <row r="20" customFormat="false" ht="15" hidden="false" customHeight="false" outlineLevel="0" collapsed="false">
      <c r="A20" s="47" t="s">
        <v>193</v>
      </c>
      <c r="B20" s="47" t="s">
        <v>188</v>
      </c>
      <c r="C20" s="47" t="s">
        <v>194</v>
      </c>
      <c r="D20" s="47" t="s">
        <v>190</v>
      </c>
      <c r="E20" s="47" t="s">
        <v>191</v>
      </c>
      <c r="F20" s="47" t="s">
        <v>192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58"/>
    <col collapsed="false" customWidth="true" hidden="false" outlineLevel="0" max="6" min="6" style="1" width="55"/>
  </cols>
  <sheetData>
    <row r="1" customFormat="false" ht="27.75" hidden="false" customHeight="true" outlineLevel="0" collapsed="false">
      <c r="A1" s="37" t="s">
        <v>195</v>
      </c>
      <c r="B1" s="37"/>
      <c r="C1" s="37"/>
      <c r="D1" s="37"/>
      <c r="E1" s="37"/>
    </row>
    <row r="2" customFormat="false" ht="15" hidden="false" customHeight="true" outlineLevel="0" collapsed="false">
      <c r="A2" s="4" t="s">
        <v>102</v>
      </c>
      <c r="B2" s="4" t="s">
        <v>196</v>
      </c>
      <c r="C2" s="4" t="s">
        <v>197</v>
      </c>
      <c r="D2" s="4" t="s">
        <v>198</v>
      </c>
      <c r="E2" s="4" t="s">
        <v>199</v>
      </c>
      <c r="F2" s="21" t="s">
        <v>200</v>
      </c>
    </row>
    <row r="3" customFormat="false" ht="79.5" hidden="false" customHeight="true" outlineLevel="0" collapsed="false">
      <c r="A3" s="48" t="s">
        <v>201</v>
      </c>
      <c r="B3" s="48" t="s">
        <v>202</v>
      </c>
      <c r="C3" s="48" t="s">
        <v>203</v>
      </c>
      <c r="D3" s="48" t="s">
        <v>204</v>
      </c>
      <c r="E3" s="48" t="s">
        <v>205</v>
      </c>
      <c r="F3" s="49" t="s">
        <v>206</v>
      </c>
    </row>
    <row r="4" customFormat="false" ht="79.5" hidden="false" customHeight="true" outlineLevel="0" collapsed="false">
      <c r="A4" s="48" t="s">
        <v>207</v>
      </c>
      <c r="B4" s="48" t="s">
        <v>208</v>
      </c>
      <c r="C4" s="48" t="s">
        <v>209</v>
      </c>
      <c r="D4" s="48" t="s">
        <v>204</v>
      </c>
      <c r="E4" s="48" t="s">
        <v>210</v>
      </c>
      <c r="F4" s="49" t="s">
        <v>206</v>
      </c>
    </row>
    <row r="5" customFormat="false" ht="79.5" hidden="false" customHeight="true" outlineLevel="0" collapsed="false">
      <c r="A5" s="48" t="s">
        <v>211</v>
      </c>
      <c r="B5" s="48" t="s">
        <v>212</v>
      </c>
      <c r="C5" s="48" t="s">
        <v>213</v>
      </c>
      <c r="D5" s="48" t="s">
        <v>214</v>
      </c>
      <c r="E5" s="48" t="s">
        <v>215</v>
      </c>
      <c r="F5" s="49" t="s">
        <v>206</v>
      </c>
    </row>
    <row r="6" customFormat="false" ht="79.5" hidden="false" customHeight="true" outlineLevel="0" collapsed="false">
      <c r="A6" s="48" t="s">
        <v>216</v>
      </c>
      <c r="B6" s="48" t="s">
        <v>217</v>
      </c>
      <c r="C6" s="48" t="s">
        <v>218</v>
      </c>
      <c r="D6" s="48" t="s">
        <v>214</v>
      </c>
      <c r="E6" s="48" t="s">
        <v>219</v>
      </c>
      <c r="F6" s="49" t="s">
        <v>206</v>
      </c>
    </row>
    <row r="7" customFormat="false" ht="79.5" hidden="false" customHeight="true" outlineLevel="0" collapsed="false">
      <c r="A7" s="48" t="s">
        <v>220</v>
      </c>
      <c r="B7" s="48" t="s">
        <v>221</v>
      </c>
      <c r="C7" s="48" t="s">
        <v>222</v>
      </c>
      <c r="D7" s="48" t="s">
        <v>223</v>
      </c>
      <c r="E7" s="48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2026-03-25T07:05:54Z</dcterms:created>
  <dc:creator>openpyxl</dc:creator>
  <dc:description/>
  <dc:language>en-US</dc:language>
  <cp:lastModifiedBy/>
  <dcterms:modified xsi:type="dcterms:W3CDTF">2026-03-25T08:12:20Z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